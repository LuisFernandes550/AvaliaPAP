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2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valiação" sheetId="1" state="visible" r:id="rId1"/>
    <sheet xmlns:r="http://schemas.openxmlformats.org/officeDocument/2006/relationships" name="Adriano Salucombo" sheetId="2" state="visible" r:id="rId2"/>
    <sheet xmlns:r="http://schemas.openxmlformats.org/officeDocument/2006/relationships" name="Afonso Costa" sheetId="3" state="visible" r:id="rId3"/>
    <sheet xmlns:r="http://schemas.openxmlformats.org/officeDocument/2006/relationships" name="Afonso Matos" sheetId="4" state="visible" r:id="rId4"/>
    <sheet xmlns:r="http://schemas.openxmlformats.org/officeDocument/2006/relationships" name="Beatriz Henriques" sheetId="5" state="visible" r:id="rId5"/>
    <sheet xmlns:r="http://schemas.openxmlformats.org/officeDocument/2006/relationships" name="Bernardo Santos" sheetId="6" state="visible" r:id="rId6"/>
    <sheet xmlns:r="http://schemas.openxmlformats.org/officeDocument/2006/relationships" name="Dinis Lourenço" sheetId="7" state="visible" r:id="rId7"/>
    <sheet xmlns:r="http://schemas.openxmlformats.org/officeDocument/2006/relationships" name="Duarte Fialho" sheetId="8" state="visible" r:id="rId8"/>
    <sheet xmlns:r="http://schemas.openxmlformats.org/officeDocument/2006/relationships" name="Filipe Monteiro" sheetId="9" state="visible" r:id="rId9"/>
    <sheet xmlns:r="http://schemas.openxmlformats.org/officeDocument/2006/relationships" name="Francisco Júnior" sheetId="10" state="visible" r:id="rId10"/>
    <sheet xmlns:r="http://schemas.openxmlformats.org/officeDocument/2006/relationships" name="Gabriel Bispo" sheetId="11" state="visible" r:id="rId11"/>
    <sheet xmlns:r="http://schemas.openxmlformats.org/officeDocument/2006/relationships" name="Hugo Vieira" sheetId="12" state="visible" r:id="rId12"/>
    <sheet xmlns:r="http://schemas.openxmlformats.org/officeDocument/2006/relationships" name="Kauã Lima" sheetId="13" state="visible" r:id="rId13"/>
    <sheet xmlns:r="http://schemas.openxmlformats.org/officeDocument/2006/relationships" name="Maria Sousa" sheetId="14" state="visible" r:id="rId14"/>
    <sheet xmlns:r="http://schemas.openxmlformats.org/officeDocument/2006/relationships" name="Rodrigo Santos" sheetId="15" state="visible" r:id="rId15"/>
    <sheet xmlns:r="http://schemas.openxmlformats.org/officeDocument/2006/relationships" name="Rodrigo Roque" sheetId="16" state="visible" r:id="rId16"/>
    <sheet xmlns:r="http://schemas.openxmlformats.org/officeDocument/2006/relationships" name="Rui Zina" sheetId="17" state="visible" r:id="rId17"/>
    <sheet xmlns:r="http://schemas.openxmlformats.org/officeDocument/2006/relationships" name="Tiago Silva" sheetId="18" state="visible" r:id="rId18"/>
    <sheet xmlns:r="http://schemas.openxmlformats.org/officeDocument/2006/relationships" name="Tiago Miguel" sheetId="19" state="visible" r:id="rId19"/>
    <sheet xmlns:r="http://schemas.openxmlformats.org/officeDocument/2006/relationships" name="Tiago Couto" sheetId="20" state="visible" r:id="rId20"/>
    <sheet xmlns:r="http://schemas.openxmlformats.org/officeDocument/2006/relationships" name="Vasco Vila" sheetId="21" state="visible" r:id="rId21"/>
    <sheet xmlns:r="http://schemas.openxmlformats.org/officeDocument/2006/relationships" name="Vladimiro Pankratau" sheetId="22" state="visible" r:id="rId22"/>
    <sheet xmlns:r="http://schemas.openxmlformats.org/officeDocument/2006/relationships" name="Auxiliar" sheetId="23" state="visible" r:id="rId23"/>
    <sheet xmlns:r="http://schemas.openxmlformats.org/officeDocument/2006/relationships" name="Acta" sheetId="24" state="visible" r:id="rId24"/>
  </sheets>
  <definedNames>
    <definedName name="_xlnm.Print_Area" localSheetId="1">'Adriano Salucombo'!$A$1:$K$62</definedName>
    <definedName name="_xlnm.Print_Area" localSheetId="2">'Afonso Costa'!$A$1:$K$62</definedName>
    <definedName name="_xlnm.Print_Area" localSheetId="3">'Afonso Matos'!$A$1:$K$62</definedName>
    <definedName name="_xlnm.Print_Area" localSheetId="4">'Beatriz Henriques'!$A$1:$K$62</definedName>
    <definedName name="_xlnm.Print_Area" localSheetId="5">'Bernardo Santos'!$A$1:$K$62</definedName>
    <definedName name="_xlnm.Print_Area" localSheetId="6">'Dinis Lourenço'!$A$1:$K$62</definedName>
    <definedName name="_xlnm.Print_Area" localSheetId="7">'Duarte Fialho'!$A$1:$K$62</definedName>
    <definedName name="_xlnm.Print_Area" localSheetId="8">'Filipe Monteiro'!$A$1:$K$62</definedName>
    <definedName name="_xlnm.Print_Area" localSheetId="9">'Francisco Júnior'!$A$1:$K$62</definedName>
    <definedName name="_xlnm.Print_Area" localSheetId="10">'Gabriel Bispo'!$A$1:$K$62</definedName>
    <definedName name="_xlnm.Print_Area" localSheetId="11">'Hugo Vieira'!$A$1:$K$62</definedName>
    <definedName name="_xlnm.Print_Area" localSheetId="12">'Kauã Lima'!$A$1:$K$62</definedName>
    <definedName name="_xlnm.Print_Area" localSheetId="13">'Maria Sousa'!$A$1:$K$62</definedName>
    <definedName name="_xlnm.Print_Area" localSheetId="14">'Rodrigo Santos'!$A$1:$K$62</definedName>
    <definedName name="_xlnm.Print_Area" localSheetId="15">'Rodrigo Roque'!$A$1:$K$62</definedName>
    <definedName name="_xlnm.Print_Area" localSheetId="16">'Rui Zina'!$A$1:$K$62</definedName>
    <definedName name="_xlnm.Print_Area" localSheetId="23">'Acta'!$A$1:$K$62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816]d\ &quot;de&quot;\ mmmm\ &quot;de&quot;\ yyyy;@"/>
  </numFmts>
  <fonts count="9">
    <font>
      <name val="Arial"/>
      <sz val="10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16"/>
    </font>
    <font>
      <name val="Arial"/>
      <family val="2"/>
      <sz val="10"/>
    </font>
    <font>
      <name val="Franklin Gothic Book"/>
      <family val="2"/>
      <sz val="9"/>
    </font>
    <font>
      <name val="Calibri"/>
      <family val="2"/>
      <sz val="11"/>
    </font>
    <font>
      <name val="Arial"/>
      <family val="2"/>
      <sz val="8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CCCC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justify" vertical="center"/>
    </xf>
    <xf numFmtId="0" fontId="0" fillId="0" borderId="0" applyAlignment="1" pivotButton="0" quotePrefix="0" xfId="0">
      <alignment horizontal="justify" vertical="center"/>
    </xf>
    <xf numFmtId="0" fontId="2" fillId="0" borderId="0" applyAlignment="1" pivotButton="0" quotePrefix="0" xfId="0">
      <alignment horizontal="justify" vertical="center"/>
    </xf>
    <xf numFmtId="0" fontId="1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justify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9" fontId="0" fillId="0" borderId="0" applyAlignment="1" pivotButton="0" quotePrefix="0" xfId="0">
      <alignment vertical="center"/>
    </xf>
    <xf numFmtId="0" fontId="0" fillId="0" borderId="7" pivotButton="0" quotePrefix="0" xfId="0"/>
    <xf numFmtId="0" fontId="5" fillId="0" borderId="7" pivotButton="0" quotePrefix="0" xfId="0"/>
    <xf numFmtId="0" fontId="0" fillId="0" borderId="1" pivotButton="0" quotePrefix="0" xfId="0"/>
    <xf numFmtId="0" fontId="5" fillId="0" borderId="0" applyAlignment="1" pivotButton="0" quotePrefix="0" xfId="0">
      <alignment vertical="center" wrapText="1"/>
    </xf>
    <xf numFmtId="0" fontId="5" fillId="0" borderId="28" applyAlignment="1" pivotButton="0" quotePrefix="0" xfId="0">
      <alignment horizontal="center"/>
    </xf>
    <xf numFmtId="0" fontId="5" fillId="0" borderId="30" pivotButton="0" quotePrefix="0" xfId="0"/>
    <xf numFmtId="0" fontId="3" fillId="3" borderId="18" applyAlignment="1" pivotButton="0" quotePrefix="0" xfId="0">
      <alignment vertical="center" wrapText="1"/>
    </xf>
    <xf numFmtId="0" fontId="0" fillId="0" borderId="30" applyAlignment="1" pivotButton="0" quotePrefix="0" xfId="0">
      <alignment horizontal="center"/>
    </xf>
    <xf numFmtId="0" fontId="3" fillId="0" borderId="30" applyAlignment="1" pivotButton="0" quotePrefix="0" xfId="0">
      <alignment horizontal="center"/>
    </xf>
    <xf numFmtId="164" fontId="3" fillId="0" borderId="30" applyAlignment="1" pivotButton="0" quotePrefix="0" xfId="0">
      <alignment horizontal="center"/>
    </xf>
    <xf numFmtId="0" fontId="3" fillId="3" borderId="17" applyAlignment="1" pivotButton="0" quotePrefix="0" xfId="0">
      <alignment vertical="center" wrapText="1"/>
    </xf>
    <xf numFmtId="0" fontId="5" fillId="6" borderId="31" applyAlignment="1" pivotButton="0" quotePrefix="0" xfId="0">
      <alignment wrapText="1"/>
    </xf>
    <xf numFmtId="0" fontId="5" fillId="0" borderId="31" applyAlignment="1" pivotButton="0" quotePrefix="0" xfId="0">
      <alignment horizontal="center" wrapText="1"/>
    </xf>
    <xf numFmtId="0" fontId="5" fillId="0" borderId="32" applyAlignment="1" pivotButton="0" quotePrefix="0" xfId="0">
      <alignment horizontal="center" wrapText="1"/>
    </xf>
    <xf numFmtId="0" fontId="3" fillId="0" borderId="28" applyAlignment="1" pivotButton="0" quotePrefix="0" xfId="0">
      <alignment horizontal="center" vertical="center"/>
    </xf>
    <xf numFmtId="0" fontId="0" fillId="5" borderId="33" applyAlignment="1" pivotButton="0" quotePrefix="0" xfId="0">
      <alignment horizontal="center"/>
    </xf>
    <xf numFmtId="0" fontId="5" fillId="0" borderId="30" applyAlignment="1" pivotButton="0" quotePrefix="0" xfId="0">
      <alignment horizontal="center"/>
    </xf>
    <xf numFmtId="0" fontId="0" fillId="0" borderId="30" pivotButton="0" quotePrefix="0" xfId="0"/>
    <xf numFmtId="0" fontId="6" fillId="0" borderId="0" applyAlignment="1" applyProtection="1" pivotButton="0" quotePrefix="0" xfId="0">
      <alignment horizontal="left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0" borderId="1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applyProtection="1" pivotButton="0" quotePrefix="0" xfId="0">
      <alignment horizontal="left" vertical="center"/>
      <protection locked="0" hidden="0"/>
    </xf>
    <xf numFmtId="0" fontId="0" fillId="0" borderId="0" applyProtection="1" pivotButton="0" quotePrefix="0" xfId="0">
      <protection locked="0" hidden="0"/>
    </xf>
    <xf numFmtId="0" fontId="3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0" applyAlignment="1" pivotButton="0" quotePrefix="0" xfId="0">
      <alignment horizontal="center" vertical="center"/>
    </xf>
    <xf numFmtId="0" fontId="4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2" fillId="0" borderId="0" applyAlignment="1" pivotButton="0" quotePrefix="0" xfId="0">
      <alignment horizontal="center" vertical="center"/>
    </xf>
    <xf numFmtId="0" fontId="5" fillId="0" borderId="1" applyAlignment="1" applyProtection="1" pivotButton="0" quotePrefix="0" xfId="0">
      <alignment vertical="top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165" fontId="1" fillId="0" borderId="0" applyAlignment="1" pivotButton="0" quotePrefix="0" xfId="0">
      <alignment horizontal="left" vertical="center" wrapText="1"/>
    </xf>
    <xf numFmtId="0" fontId="3" fillId="3" borderId="24" applyAlignment="1" pivotButton="0" quotePrefix="0" xfId="0">
      <alignment horizontal="left" vertical="center" wrapText="1"/>
    </xf>
    <xf numFmtId="0" fontId="0" fillId="0" borderId="25" pivotButton="0" quotePrefix="0" xfId="0"/>
    <xf numFmtId="0" fontId="5" fillId="0" borderId="35" applyAlignment="1" pivotButton="0" quotePrefix="0" xfId="0">
      <alignment vertical="center" wrapText="1"/>
    </xf>
    <xf numFmtId="0" fontId="0" fillId="0" borderId="11" pivotButton="0" quotePrefix="0" xfId="0"/>
    <xf numFmtId="0" fontId="0" fillId="0" borderId="13" pivotButton="0" quotePrefix="0" xfId="0"/>
    <xf numFmtId="0" fontId="3" fillId="4" borderId="29" applyAlignment="1" pivotButton="0" quotePrefix="0" xfId="0">
      <alignment horizontal="center" vertical="center" textRotation="90"/>
    </xf>
    <xf numFmtId="0" fontId="0" fillId="0" borderId="22" pivotButton="0" quotePrefix="0" xfId="0"/>
    <xf numFmtId="0" fontId="0" fillId="0" borderId="23" pivotButton="0" quotePrefix="0" xfId="0"/>
    <xf numFmtId="0" fontId="5" fillId="0" borderId="12" applyAlignment="1" pivotButton="0" quotePrefix="0" xfId="0">
      <alignment vertical="center" wrapText="1"/>
    </xf>
    <xf numFmtId="0" fontId="5" fillId="0" borderId="14" applyAlignment="1" pivotButton="0" quotePrefix="0" xfId="0">
      <alignment vertical="center" wrapText="1"/>
    </xf>
    <xf numFmtId="0" fontId="0" fillId="0" borderId="15" pivotButton="0" quotePrefix="0" xfId="0"/>
    <xf numFmtId="0" fontId="3" fillId="3" borderId="17" applyAlignment="1" pivotButton="0" quotePrefix="0" xfId="0">
      <alignment horizontal="left" vertical="center" wrapText="1"/>
    </xf>
    <xf numFmtId="0" fontId="0" fillId="0" borderId="18" pivotButton="0" quotePrefix="0" xfId="0"/>
    <xf numFmtId="0" fontId="5" fillId="0" borderId="34" applyAlignment="1" pivotButton="0" quotePrefix="0" xfId="0">
      <alignment vertical="center" wrapText="1"/>
    </xf>
    <xf numFmtId="0" fontId="0" fillId="0" borderId="26" pivotButton="0" quotePrefix="0" xfId="0"/>
    <xf numFmtId="0" fontId="3" fillId="4" borderId="28" applyAlignment="1" pivotButton="0" quotePrefix="0" xfId="0">
      <alignment horizontal="center" vertical="center" textRotation="90"/>
    </xf>
    <xf numFmtId="0" fontId="0" fillId="0" borderId="20" pivotButton="0" quotePrefix="0" xfId="0"/>
    <xf numFmtId="0" fontId="0" fillId="0" borderId="21" pivotButton="0" quotePrefix="0" xfId="0"/>
    <xf numFmtId="0" fontId="3" fillId="3" borderId="27" applyAlignment="1" pivotButton="0" quotePrefix="0" xfId="0">
      <alignment horizontal="center" vertical="center" wrapText="1"/>
    </xf>
    <xf numFmtId="0" fontId="0" fillId="0" borderId="27" pivotButton="0" quotePrefix="0" xfId="0"/>
    <xf numFmtId="0" fontId="7" fillId="0" borderId="15" applyAlignment="1" pivotButton="0" quotePrefix="0" xfId="0">
      <alignment horizontal="right" vertical="center" wrapText="1"/>
    </xf>
    <xf numFmtId="0" fontId="3" fillId="3" borderId="38" applyAlignment="1" pivotButton="0" quotePrefix="0" xfId="0">
      <alignment horizontal="center" vertical="center" wrapText="1"/>
    </xf>
    <xf numFmtId="0" fontId="5" fillId="0" borderId="24" applyAlignment="1" pivotButton="0" quotePrefix="0" xfId="0">
      <alignment vertical="center" wrapText="1"/>
    </xf>
    <xf numFmtId="0" fontId="7" fillId="0" borderId="37" applyAlignment="1" pivotButton="0" quotePrefix="0" xfId="0">
      <alignment horizontal="right" vertical="center" wrapText="1"/>
    </xf>
    <xf numFmtId="0" fontId="0" fillId="0" borderId="19" pivotButton="0" quotePrefix="0" xfId="0"/>
    <xf numFmtId="0" fontId="5" fillId="0" borderId="36" applyAlignment="1" pivotButton="0" quotePrefix="0" xfId="0">
      <alignment vertical="center" wrapText="1"/>
    </xf>
    <xf numFmtId="0" fontId="0" fillId="0" borderId="16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8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left" vertical="center"/>
      <protection locked="0" hidden="0"/>
    </xf>
    <xf numFmtId="0" fontId="8" fillId="0" borderId="0" applyProtection="1" pivotButton="0" quotePrefix="0" xfId="0">
      <protection locked="0" hidden="0"/>
    </xf>
    <xf numFmtId="0" fontId="8" fillId="0" borderId="0" applyProtection="1" pivotButton="0" quotePrefix="0" xfId="0">
      <protection locked="0" hidden="0"/>
    </xf>
    <xf numFmtId="0" fontId="8" fillId="0" borderId="0" applyAlignment="1" pivotButton="0" quotePrefix="0" xfId="0">
      <alignment vertical="center"/>
    </xf>
    <xf numFmtId="0" fontId="8" fillId="0" borderId="0" applyAlignment="1" applyProtection="1" pivotButton="0" quotePrefix="0" xfId="0">
      <alignment horizontal="left" vertical="center"/>
      <protection locked="0" hidden="0"/>
    </xf>
    <xf numFmtId="0" fontId="8" fillId="0" borderId="0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dxfs count="51"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</dxfs>
  <tableStyles count="2" defaultTableStyle="TableStyleMedium9" defaultPivotStyle="PivotStyleLight16">
    <tableStyle name="Invisible" pivot="0" table="0" count="0"/>
    <tableStyle name="MySqlDefault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png" Id="rId2"/></Relationships>
</file>

<file path=xl/drawings/_rels/drawing11.xml.rels><Relationships xmlns="http://schemas.openxmlformats.org/package/2006/relationships"><Relationship Type="http://schemas.openxmlformats.org/officeDocument/2006/relationships/image" Target="/xl/media/image21.png" Id="rId1"/><Relationship Type="http://schemas.openxmlformats.org/officeDocument/2006/relationships/image" Target="/xl/media/image22.png" Id="rId2"/></Relationships>
</file>

<file path=xl/drawings/_rels/drawing12.xml.rels><Relationships xmlns="http://schemas.openxmlformats.org/package/2006/relationships"><Relationship Type="http://schemas.openxmlformats.org/officeDocument/2006/relationships/image" Target="/xl/media/image23.png" Id="rId1"/><Relationship Type="http://schemas.openxmlformats.org/officeDocument/2006/relationships/image" Target="/xl/media/image24.png" Id="rId2"/></Relationships>
</file>

<file path=xl/drawings/_rels/drawing13.xml.rels><Relationships xmlns="http://schemas.openxmlformats.org/package/2006/relationships"><Relationship Type="http://schemas.openxmlformats.org/officeDocument/2006/relationships/image" Target="/xl/media/image25.png" Id="rId1"/><Relationship Type="http://schemas.openxmlformats.org/officeDocument/2006/relationships/image" Target="/xl/media/image26.png" Id="rId2"/></Relationships>
</file>

<file path=xl/drawings/_rels/drawing14.xml.rels><Relationships xmlns="http://schemas.openxmlformats.org/package/2006/relationships"><Relationship Type="http://schemas.openxmlformats.org/officeDocument/2006/relationships/image" Target="/xl/media/image27.png" Id="rId1"/><Relationship Type="http://schemas.openxmlformats.org/officeDocument/2006/relationships/image" Target="/xl/media/image28.png" Id="rId2"/></Relationships>
</file>

<file path=xl/drawings/_rels/drawing15.xml.rels><Relationships xmlns="http://schemas.openxmlformats.org/package/2006/relationships"><Relationship Type="http://schemas.openxmlformats.org/officeDocument/2006/relationships/image" Target="/xl/media/image29.png" Id="rId1"/><Relationship Type="http://schemas.openxmlformats.org/officeDocument/2006/relationships/image" Target="/xl/media/image30.png" Id="rId2"/></Relationships>
</file>

<file path=xl/drawings/_rels/drawing16.xml.rels><Relationships xmlns="http://schemas.openxmlformats.org/package/2006/relationships"><Relationship Type="http://schemas.openxmlformats.org/officeDocument/2006/relationships/image" Target="/xl/media/image31.png" Id="rId1"/><Relationship Type="http://schemas.openxmlformats.org/officeDocument/2006/relationships/image" Target="/xl/media/image32.png" Id="rId2"/></Relationships>
</file>

<file path=xl/drawings/_rels/drawing17.xml.rels><Relationships xmlns="http://schemas.openxmlformats.org/package/2006/relationships"><Relationship Type="http://schemas.openxmlformats.org/officeDocument/2006/relationships/image" Target="/xl/media/image33.png" Id="rId1"/><Relationship Type="http://schemas.openxmlformats.org/officeDocument/2006/relationships/image" Target="/xl/media/image34.png" Id="rId2"/></Relationships>
</file>

<file path=xl/drawings/_rels/drawing18.xml.rels><Relationships xmlns="http://schemas.openxmlformats.org/package/2006/relationships"><Relationship Type="http://schemas.openxmlformats.org/officeDocument/2006/relationships/image" Target="/xl/media/image35.png" Id="rId1"/><Relationship Type="http://schemas.openxmlformats.org/officeDocument/2006/relationships/image" Target="/xl/media/image36.png" Id="rId2"/></Relationships>
</file>

<file path=xl/drawings/_rels/drawing19.xml.rels><Relationships xmlns="http://schemas.openxmlformats.org/package/2006/relationships"><Relationship Type="http://schemas.openxmlformats.org/officeDocument/2006/relationships/image" Target="/xl/media/image37.png" Id="rId1"/><Relationship Type="http://schemas.openxmlformats.org/officeDocument/2006/relationships/image" Target="/xl/media/image38.png" Id="rId2"/></Relationships>
</file>

<file path=xl/drawings/_rels/drawing20.xml.rels><Relationships xmlns="http://schemas.openxmlformats.org/package/2006/relationships"><Relationship Type="http://schemas.openxmlformats.org/officeDocument/2006/relationships/image" Target="/xl/media/image39.png" Id="rId1"/><Relationship Type="http://schemas.openxmlformats.org/officeDocument/2006/relationships/image" Target="/xl/media/image40.png" Id="rId2"/></Relationships>
</file>

<file path=xl/drawings/_rels/drawing21.xml.rels><Relationships xmlns="http://schemas.openxmlformats.org/package/2006/relationships"><Relationship Type="http://schemas.openxmlformats.org/officeDocument/2006/relationships/image" Target="/xl/media/image41.png" Id="rId1"/><Relationship Type="http://schemas.openxmlformats.org/officeDocument/2006/relationships/image" Target="/xl/media/image42.png" Id="rId2"/></Relationships>
</file>

<file path=xl/drawings/_rels/drawing22.xml.rels><Relationships xmlns="http://schemas.openxmlformats.org/package/2006/relationships"><Relationship Type="http://schemas.openxmlformats.org/officeDocument/2006/relationships/image" Target="/xl/media/image43.png" Id="rId1"/><Relationship Type="http://schemas.openxmlformats.org/officeDocument/2006/relationships/image" Target="/xl/media/image44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485775</colOff>
      <row>2</row>
      <rowOff>123825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628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0</colOff>
      <row>56</row>
      <rowOff>0</rowOff>
    </from>
    <to>
      <col>9</col>
      <colOff>235733</colOff>
      <row>60</row>
      <rowOff>34604</rowOff>
    </to>
    <grpSp>
      <nvGrpSpPr>
        <cNvPr id="17" name="Agrupar 16"/>
        <cNvGrpSpPr/>
      </nvGrpSpPr>
      <grpSpPr>
        <a:xfrm xmlns:a="http://schemas.openxmlformats.org/drawingml/2006/main" rot="0">
          <a:off x="571500" y="9632950"/>
          <a:ext cx="4369583" cy="695004"/>
          <a:chOff x="1644651" y="9645650"/>
          <a:chExt cx="4369583" cy="695004"/>
        </a:xfrm>
      </grpSpPr>
      <pic>
        <nvPicPr>
          <cNvPr id="19" name="Imagem 18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cstate="print" r:embed="rId2"/>
          <a:stretch xmlns:a="http://schemas.openxmlformats.org/drawingml/2006/main">
            <a:fillRect/>
          </a:stretch>
        </blipFill>
        <spPr>
          <a:xfrm xmlns:a="http://schemas.openxmlformats.org/drawingml/2006/main">
            <a:off x="1644651" y="9683750"/>
            <a:ext cx="1199908" cy="562104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485775</colOff>
      <row>2</row>
      <rowOff>123825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628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0</colOff>
      <row>56</row>
      <rowOff>0</rowOff>
    </from>
    <to>
      <col>9</col>
      <colOff>235733</colOff>
      <row>60</row>
      <rowOff>34604</rowOff>
    </to>
    <grpSp>
      <nvGrpSpPr>
        <cNvPr id="5" name="Agrupar 4"/>
        <cNvGrpSpPr/>
      </nvGrpSpPr>
      <grpSpPr>
        <a:xfrm xmlns:a="http://schemas.openxmlformats.org/drawingml/2006/main" rot="0">
          <a:off x="571500" y="9632950"/>
          <a:ext cx="4369583" cy="695004"/>
          <a:chOff x="1644651" y="9645650"/>
          <a:chExt cx="4369583" cy="695004"/>
        </a:xfrm>
      </grpSpPr>
      <pic>
        <nvPicPr>
          <cNvPr id="8" name="Imagem 7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cstate="print" r:embed="rId2"/>
          <a:stretch xmlns:a="http://schemas.openxmlformats.org/drawingml/2006/main">
            <a:fillRect/>
          </a:stretch>
        </blipFill>
        <spPr>
          <a:xfrm xmlns:a="http://schemas.openxmlformats.org/drawingml/2006/main">
            <a:off x="1644651" y="9683750"/>
            <a:ext cx="1199908" cy="562104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485775</colOff>
      <row>2</row>
      <rowOff>123825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628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0</colOff>
      <row>56</row>
      <rowOff>0</rowOff>
    </from>
    <to>
      <col>9</col>
      <colOff>235733</colOff>
      <row>60</row>
      <rowOff>34604</rowOff>
    </to>
    <grpSp>
      <nvGrpSpPr>
        <cNvPr id="5" name="Agrupar 4"/>
        <cNvGrpSpPr/>
      </nvGrpSpPr>
      <grpSpPr>
        <a:xfrm xmlns:a="http://schemas.openxmlformats.org/drawingml/2006/main" rot="0">
          <a:off x="571500" y="9632950"/>
          <a:ext cx="4369583" cy="695004"/>
          <a:chOff x="1644651" y="9645650"/>
          <a:chExt cx="4369583" cy="695004"/>
        </a:xfrm>
      </grpSpPr>
      <pic>
        <nvPicPr>
          <cNvPr id="8" name="Imagem 7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cstate="print" r:embed="rId2"/>
          <a:stretch xmlns:a="http://schemas.openxmlformats.org/drawingml/2006/main">
            <a:fillRect/>
          </a:stretch>
        </blipFill>
        <spPr>
          <a:xfrm xmlns:a="http://schemas.openxmlformats.org/drawingml/2006/main">
            <a:off x="1644651" y="9683750"/>
            <a:ext cx="1199908" cy="562104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485775</colOff>
      <row>2</row>
      <rowOff>123825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628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0</colOff>
      <row>56</row>
      <rowOff>0</rowOff>
    </from>
    <to>
      <col>9</col>
      <colOff>235733</colOff>
      <row>60</row>
      <rowOff>34604</rowOff>
    </to>
    <grpSp>
      <nvGrpSpPr>
        <cNvPr id="5" name="Agrupar 4"/>
        <cNvGrpSpPr/>
      </nvGrpSpPr>
      <grpSpPr>
        <a:xfrm xmlns:a="http://schemas.openxmlformats.org/drawingml/2006/main" rot="0">
          <a:off x="571500" y="9632950"/>
          <a:ext cx="4369583" cy="695004"/>
          <a:chOff x="1644651" y="9645650"/>
          <a:chExt cx="4369583" cy="695004"/>
        </a:xfrm>
      </grpSpPr>
      <pic>
        <nvPicPr>
          <cNvPr id="8" name="Imagem 7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cstate="print" r:embed="rId2"/>
          <a:stretch xmlns:a="http://schemas.openxmlformats.org/drawingml/2006/main">
            <a:fillRect/>
          </a:stretch>
        </blipFill>
        <spPr>
          <a:xfrm xmlns:a="http://schemas.openxmlformats.org/drawingml/2006/main">
            <a:off x="1644651" y="9683750"/>
            <a:ext cx="1199908" cy="562104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485775</colOff>
      <row>2</row>
      <rowOff>123825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628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0</colOff>
      <row>56</row>
      <rowOff>0</rowOff>
    </from>
    <to>
      <col>9</col>
      <colOff>235733</colOff>
      <row>60</row>
      <rowOff>34604</rowOff>
    </to>
    <grpSp>
      <nvGrpSpPr>
        <cNvPr id="5" name="Agrupar 4"/>
        <cNvGrpSpPr/>
      </nvGrpSpPr>
      <grpSpPr>
        <a:xfrm xmlns:a="http://schemas.openxmlformats.org/drawingml/2006/main" rot="0">
          <a:off x="571500" y="9632950"/>
          <a:ext cx="4369583" cy="695004"/>
          <a:chOff x="1644651" y="9645650"/>
          <a:chExt cx="4369583" cy="695004"/>
        </a:xfrm>
      </grpSpPr>
      <pic>
        <nvPicPr>
          <cNvPr id="8" name="Imagem 7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cstate="print" r:embed="rId2"/>
          <a:stretch xmlns:a="http://schemas.openxmlformats.org/drawingml/2006/main">
            <a:fillRect/>
          </a:stretch>
        </blipFill>
        <spPr>
          <a:xfrm xmlns:a="http://schemas.openxmlformats.org/drawingml/2006/main">
            <a:off x="1644651" y="9683750"/>
            <a:ext cx="1199908" cy="562104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485775</colOff>
      <row>2</row>
      <rowOff>123825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628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0</colOff>
      <row>56</row>
      <rowOff>0</rowOff>
    </from>
    <to>
      <col>9</col>
      <colOff>235733</colOff>
      <row>60</row>
      <rowOff>34604</rowOff>
    </to>
    <grpSp>
      <nvGrpSpPr>
        <cNvPr id="5" name="Agrupar 4"/>
        <cNvGrpSpPr/>
      </nvGrpSpPr>
      <grpSpPr>
        <a:xfrm xmlns:a="http://schemas.openxmlformats.org/drawingml/2006/main" rot="0">
          <a:off x="571500" y="9632950"/>
          <a:ext cx="4369583" cy="695004"/>
          <a:chOff x="1644651" y="9645650"/>
          <a:chExt cx="4369583" cy="695004"/>
        </a:xfrm>
      </grpSpPr>
      <pic>
        <nvPicPr>
          <cNvPr id="8" name="Imagem 7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cstate="print" r:embed="rId2"/>
          <a:stretch xmlns:a="http://schemas.openxmlformats.org/drawingml/2006/main">
            <a:fillRect/>
          </a:stretch>
        </blipFill>
        <spPr>
          <a:xfrm xmlns:a="http://schemas.openxmlformats.org/drawingml/2006/main">
            <a:off x="1644651" y="9683750"/>
            <a:ext cx="1199908" cy="562104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drawings/drawing7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485775</colOff>
      <row>2</row>
      <rowOff>123825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628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0</colOff>
      <row>56</row>
      <rowOff>0</rowOff>
    </from>
    <to>
      <col>9</col>
      <colOff>235733</colOff>
      <row>60</row>
      <rowOff>34604</rowOff>
    </to>
    <grpSp>
      <nvGrpSpPr>
        <cNvPr id="5" name="Agrupar 4"/>
        <cNvGrpSpPr/>
      </nvGrpSpPr>
      <grpSpPr>
        <a:xfrm xmlns:a="http://schemas.openxmlformats.org/drawingml/2006/main" rot="0">
          <a:off x="571500" y="9632950"/>
          <a:ext cx="4369583" cy="695004"/>
          <a:chOff x="1644651" y="9645650"/>
          <a:chExt cx="4369583" cy="695004"/>
        </a:xfrm>
      </grpSpPr>
      <pic>
        <nvPicPr>
          <cNvPr id="8" name="Imagem 7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cstate="print" r:embed="rId2"/>
          <a:stretch xmlns:a="http://schemas.openxmlformats.org/drawingml/2006/main">
            <a:fillRect/>
          </a:stretch>
        </blipFill>
        <spPr>
          <a:xfrm xmlns:a="http://schemas.openxmlformats.org/drawingml/2006/main">
            <a:off x="1644651" y="9683750"/>
            <a:ext cx="1199908" cy="562104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485775</colOff>
      <row>2</row>
      <rowOff>123825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628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0</colOff>
      <row>56</row>
      <rowOff>0</rowOff>
    </from>
    <to>
      <col>9</col>
      <colOff>235733</colOff>
      <row>60</row>
      <rowOff>34604</rowOff>
    </to>
    <grpSp>
      <nvGrpSpPr>
        <cNvPr id="3" name="Agrupar 2"/>
        <cNvGrpSpPr/>
      </nvGrpSpPr>
      <grpSpPr>
        <a:xfrm xmlns:a="http://schemas.openxmlformats.org/drawingml/2006/main" rot="0">
          <a:off x="571500" y="9632950"/>
          <a:ext cx="4369583" cy="695004"/>
          <a:chOff x="1644651" y="9645650"/>
          <a:chExt cx="4369583" cy="695004"/>
        </a:xfrm>
      </grpSpPr>
      <pic>
        <nvPicPr>
          <cNvPr id="7" name="Imagem 6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cstate="print" r:embed="rId2"/>
          <a:stretch xmlns:a="http://schemas.openxmlformats.org/drawingml/2006/main">
            <a:fillRect/>
          </a:stretch>
        </blipFill>
        <spPr>
          <a:xfrm xmlns:a="http://schemas.openxmlformats.org/drawingml/2006/main">
            <a:off x="1644651" y="9683750"/>
            <a:ext cx="1199908" cy="562104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drawings/drawing9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485775</colOff>
      <row>2</row>
      <rowOff>123825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628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0</colOff>
      <row>56</row>
      <rowOff>0</rowOff>
    </from>
    <to>
      <col>9</col>
      <colOff>235733</colOff>
      <row>60</row>
      <rowOff>34604</rowOff>
    </to>
    <grpSp>
      <nvGrpSpPr>
        <cNvPr id="3" name="Agrupar 2"/>
        <cNvGrpSpPr/>
      </nvGrpSpPr>
      <grpSpPr>
        <a:xfrm xmlns:a="http://schemas.openxmlformats.org/drawingml/2006/main" rot="0">
          <a:off x="571500" y="9632950"/>
          <a:ext cx="4369583" cy="695004"/>
          <a:chOff x="1644651" y="9645650"/>
          <a:chExt cx="4369583" cy="695004"/>
        </a:xfrm>
      </grpSpPr>
      <pic>
        <nvPicPr>
          <cNvPr id="7" name="Imagem 6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cstate="print" r:embed="rId2"/>
          <a:stretch xmlns:a="http://schemas.openxmlformats.org/drawingml/2006/main">
            <a:fillRect/>
          </a:stretch>
        </blipFill>
        <spPr>
          <a:xfrm xmlns:a="http://schemas.openxmlformats.org/drawingml/2006/main">
            <a:off x="1644651" y="9683750"/>
            <a:ext cx="1199908" cy="562104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drawings/drawing10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485775</colOff>
      <row>2</row>
      <rowOff>123825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628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0</colOff>
      <row>56</row>
      <rowOff>0</rowOff>
    </from>
    <to>
      <col>9</col>
      <colOff>235733</colOff>
      <row>60</row>
      <rowOff>34604</rowOff>
    </to>
    <grpSp>
      <nvGrpSpPr>
        <cNvPr id="3" name="Agrupar 2"/>
        <cNvGrpSpPr/>
      </nvGrpSpPr>
      <grpSpPr>
        <a:xfrm xmlns:a="http://schemas.openxmlformats.org/drawingml/2006/main" rot="0">
          <a:off x="571500" y="9632950"/>
          <a:ext cx="4369583" cy="695004"/>
          <a:chOff x="1644651" y="9645650"/>
          <a:chExt cx="4369583" cy="695004"/>
        </a:xfrm>
      </grpSpPr>
      <pic>
        <nvPicPr>
          <cNvPr id="7" name="Imagem 6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cstate="print" r:embed="rId2"/>
          <a:stretch xmlns:a="http://schemas.openxmlformats.org/drawingml/2006/main">
            <a:fillRect/>
          </a:stretch>
        </blipFill>
        <spPr>
          <a:xfrm xmlns:a="http://schemas.openxmlformats.org/drawingml/2006/main">
            <a:off x="1644651" y="9683750"/>
            <a:ext cx="1199908" cy="562104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drawings/drawing1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485775</colOff>
      <row>2</row>
      <rowOff>123825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628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0</colOff>
      <row>56</row>
      <rowOff>0</rowOff>
    </from>
    <to>
      <col>9</col>
      <colOff>235733</colOff>
      <row>60</row>
      <rowOff>34604</rowOff>
    </to>
    <grpSp>
      <nvGrpSpPr>
        <cNvPr id="3" name="Agrupar 2"/>
        <cNvGrpSpPr/>
      </nvGrpSpPr>
      <grpSpPr>
        <a:xfrm xmlns:a="http://schemas.openxmlformats.org/drawingml/2006/main" rot="0">
          <a:off x="571500" y="9632950"/>
          <a:ext cx="4369583" cy="695004"/>
          <a:chOff x="1644651" y="9645650"/>
          <a:chExt cx="4369583" cy="695004"/>
        </a:xfrm>
      </grpSpPr>
      <pic>
        <nvPicPr>
          <cNvPr id="7" name="Imagem 6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cstate="print" r:embed="rId2"/>
          <a:stretch xmlns:a="http://schemas.openxmlformats.org/drawingml/2006/main">
            <a:fillRect/>
          </a:stretch>
        </blipFill>
        <spPr>
          <a:xfrm xmlns:a="http://schemas.openxmlformats.org/drawingml/2006/main">
            <a:off x="1644651" y="9683750"/>
            <a:ext cx="1199908" cy="562104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drawings/drawing1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485775</colOff>
      <row>2</row>
      <rowOff>123825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628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0</colOff>
      <row>56</row>
      <rowOff>0</rowOff>
    </from>
    <to>
      <col>9</col>
      <colOff>235733</colOff>
      <row>60</row>
      <rowOff>34604</rowOff>
    </to>
    <grpSp>
      <nvGrpSpPr>
        <cNvPr id="3" name="Agrupar 2"/>
        <cNvGrpSpPr/>
      </nvGrpSpPr>
      <grpSpPr>
        <a:xfrm xmlns:a="http://schemas.openxmlformats.org/drawingml/2006/main" rot="0">
          <a:off x="571500" y="9632950"/>
          <a:ext cx="4369583" cy="695004"/>
          <a:chOff x="1644651" y="9645650"/>
          <a:chExt cx="4369583" cy="695004"/>
        </a:xfrm>
      </grpSpPr>
      <pic>
        <nvPicPr>
          <cNvPr id="7" name="Imagem 6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cstate="print" r:embed="rId2"/>
          <a:stretch xmlns:a="http://schemas.openxmlformats.org/drawingml/2006/main">
            <a:fillRect/>
          </a:stretch>
        </blipFill>
        <spPr>
          <a:xfrm xmlns:a="http://schemas.openxmlformats.org/drawingml/2006/main">
            <a:off x="1644651" y="9683750"/>
            <a:ext cx="1199908" cy="562104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drawings/drawing1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485775</colOff>
      <row>2</row>
      <rowOff>123825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628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0</colOff>
      <row>56</row>
      <rowOff>0</rowOff>
    </from>
    <to>
      <col>9</col>
      <colOff>235733</colOff>
      <row>60</row>
      <rowOff>34604</rowOff>
    </to>
    <grpSp>
      <nvGrpSpPr>
        <cNvPr id="3" name="Agrupar 2"/>
        <cNvGrpSpPr/>
      </nvGrpSpPr>
      <grpSpPr>
        <a:xfrm xmlns:a="http://schemas.openxmlformats.org/drawingml/2006/main" rot="0">
          <a:off x="571500" y="9632950"/>
          <a:ext cx="4369583" cy="695004"/>
          <a:chOff x="1644651" y="9645650"/>
          <a:chExt cx="4369583" cy="695004"/>
        </a:xfrm>
      </grpSpPr>
      <pic>
        <nvPicPr>
          <cNvPr id="7" name="Imagem 6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cstate="print" r:embed="rId2"/>
          <a:stretch xmlns:a="http://schemas.openxmlformats.org/drawingml/2006/main">
            <a:fillRect/>
          </a:stretch>
        </blipFill>
        <spPr>
          <a:xfrm xmlns:a="http://schemas.openxmlformats.org/drawingml/2006/main">
            <a:off x="1644651" y="9683750"/>
            <a:ext cx="1199908" cy="562104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drawings/drawing1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485775</colOff>
      <row>2</row>
      <rowOff>123825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628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0</colOff>
      <row>56</row>
      <rowOff>0</rowOff>
    </from>
    <to>
      <col>9</col>
      <colOff>235733</colOff>
      <row>60</row>
      <rowOff>34604</rowOff>
    </to>
    <grpSp>
      <nvGrpSpPr>
        <cNvPr id="3" name="Agrupar 2"/>
        <cNvGrpSpPr/>
      </nvGrpSpPr>
      <grpSpPr>
        <a:xfrm xmlns:a="http://schemas.openxmlformats.org/drawingml/2006/main" rot="0">
          <a:off x="571500" y="9632950"/>
          <a:ext cx="4369583" cy="695004"/>
          <a:chOff x="1644651" y="9645650"/>
          <a:chExt cx="4369583" cy="695004"/>
        </a:xfrm>
      </grpSpPr>
      <pic>
        <nvPicPr>
          <cNvPr id="7" name="Imagem 6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cstate="print" r:embed="rId2"/>
          <a:stretch xmlns:a="http://schemas.openxmlformats.org/drawingml/2006/main">
            <a:fillRect/>
          </a:stretch>
        </blipFill>
        <spPr>
          <a:xfrm xmlns:a="http://schemas.openxmlformats.org/drawingml/2006/main">
            <a:off x="1644651" y="9683750"/>
            <a:ext cx="1199908" cy="562104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drawings/drawing1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485775</colOff>
      <row>2</row>
      <rowOff>123825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628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0</colOff>
      <row>56</row>
      <rowOff>0</rowOff>
    </from>
    <to>
      <col>9</col>
      <colOff>235733</colOff>
      <row>60</row>
      <rowOff>34604</rowOff>
    </to>
    <grpSp>
      <nvGrpSpPr>
        <cNvPr id="3" name="Agrupar 2"/>
        <cNvGrpSpPr/>
      </nvGrpSpPr>
      <grpSpPr>
        <a:xfrm xmlns:a="http://schemas.openxmlformats.org/drawingml/2006/main" rot="0">
          <a:off x="571500" y="9632950"/>
          <a:ext cx="4369583" cy="695004"/>
          <a:chOff x="1644651" y="9645650"/>
          <a:chExt cx="4369583" cy="695004"/>
        </a:xfrm>
      </grpSpPr>
      <pic>
        <nvPicPr>
          <cNvPr id="7" name="Imagem 6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cstate="print" r:embed="rId2"/>
          <a:stretch xmlns:a="http://schemas.openxmlformats.org/drawingml/2006/main">
            <a:fillRect/>
          </a:stretch>
        </blipFill>
        <spPr>
          <a:xfrm xmlns:a="http://schemas.openxmlformats.org/drawingml/2006/main">
            <a:off x="1644651" y="9683750"/>
            <a:ext cx="1199908" cy="562104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drawings/drawing1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485775</colOff>
      <row>2</row>
      <rowOff>123825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628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0</colOff>
      <row>56</row>
      <rowOff>0</rowOff>
    </from>
    <to>
      <col>9</col>
      <colOff>235733</colOff>
      <row>60</row>
      <rowOff>34604</rowOff>
    </to>
    <grpSp>
      <nvGrpSpPr>
        <cNvPr id="3" name="Agrupar 2"/>
        <cNvGrpSpPr/>
      </nvGrpSpPr>
      <grpSpPr>
        <a:xfrm xmlns:a="http://schemas.openxmlformats.org/drawingml/2006/main" rot="0">
          <a:off x="571500" y="9632950"/>
          <a:ext cx="4369583" cy="695004"/>
          <a:chOff x="1644651" y="9645650"/>
          <a:chExt cx="4369583" cy="695004"/>
        </a:xfrm>
      </grpSpPr>
      <pic>
        <nvPicPr>
          <cNvPr id="7" name="Imagem 6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cstate="print" r:embed="rId2"/>
          <a:stretch xmlns:a="http://schemas.openxmlformats.org/drawingml/2006/main">
            <a:fillRect/>
          </a:stretch>
        </blipFill>
        <spPr>
          <a:xfrm xmlns:a="http://schemas.openxmlformats.org/drawingml/2006/main">
            <a:off x="1644651" y="9683750"/>
            <a:ext cx="1199908" cy="562104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drawings/drawing17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485775</colOff>
      <row>2</row>
      <rowOff>123825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628775" cy="498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0</colOff>
      <row>56</row>
      <rowOff>0</rowOff>
    </from>
    <to>
      <col>9</col>
      <colOff>235733</colOff>
      <row>60</row>
      <rowOff>34604</rowOff>
    </to>
    <grpSp>
      <nvGrpSpPr>
        <cNvPr id="4" name="Agrupar 3"/>
        <cNvGrpSpPr/>
      </nvGrpSpPr>
      <grpSpPr>
        <a:xfrm xmlns:a="http://schemas.openxmlformats.org/drawingml/2006/main" rot="0">
          <a:off x="571500" y="9632950"/>
          <a:ext cx="4369583" cy="695004"/>
          <a:chOff x="1644651" y="9645650"/>
          <a:chExt cx="4369583" cy="695004"/>
        </a:xfrm>
      </grpSpPr>
      <pic>
        <nvPicPr>
          <cNvPr id="6" name="Imagem 5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cstate="print" r:embed="rId2"/>
          <a:stretch xmlns:a="http://schemas.openxmlformats.org/drawingml/2006/main">
            <a:fillRect/>
          </a:stretch>
        </blipFill>
        <spPr>
          <a:xfrm xmlns:a="http://schemas.openxmlformats.org/drawingml/2006/main">
            <a:off x="1644651" y="9683750"/>
            <a:ext cx="1199908" cy="562104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drawings/drawing18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485775</colOff>
      <row>2</row>
      <rowOff>123825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628775" cy="498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0</colOff>
      <row>56</row>
      <rowOff>0</rowOff>
    </from>
    <to>
      <col>9</col>
      <colOff>235733</colOff>
      <row>60</row>
      <rowOff>34604</rowOff>
    </to>
    <grpSp>
      <nvGrpSpPr>
        <cNvPr id="3" name="Agrupar 2"/>
        <cNvGrpSpPr/>
      </nvGrpSpPr>
      <grpSpPr>
        <a:xfrm xmlns:a="http://schemas.openxmlformats.org/drawingml/2006/main" rot="0">
          <a:off x="571500" y="9632950"/>
          <a:ext cx="4369583" cy="695004"/>
          <a:chOff x="1644651" y="9645650"/>
          <a:chExt cx="4369583" cy="695004"/>
        </a:xfrm>
      </grpSpPr>
      <pic>
        <nvPicPr>
          <cNvPr id="5" name="Imagem 4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cstate="print" r:embed="rId2"/>
          <a:stretch xmlns:a="http://schemas.openxmlformats.org/drawingml/2006/main">
            <a:fillRect/>
          </a:stretch>
        </blipFill>
        <spPr>
          <a:xfrm xmlns:a="http://schemas.openxmlformats.org/drawingml/2006/main">
            <a:off x="1644651" y="9683750"/>
            <a:ext cx="1199908" cy="562104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drawings/drawing19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485775</colOff>
      <row>2</row>
      <rowOff>123825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628775" cy="498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0</colOff>
      <row>56</row>
      <rowOff>0</rowOff>
    </from>
    <to>
      <col>9</col>
      <colOff>235733</colOff>
      <row>60</row>
      <rowOff>34604</rowOff>
    </to>
    <grpSp>
      <nvGrpSpPr>
        <cNvPr id="3" name="Agrupar 2"/>
        <cNvGrpSpPr/>
      </nvGrpSpPr>
      <grpSpPr>
        <a:xfrm xmlns:a="http://schemas.openxmlformats.org/drawingml/2006/main" rot="0">
          <a:off x="571500" y="9632950"/>
          <a:ext cx="4369583" cy="695004"/>
          <a:chOff x="1644651" y="9645650"/>
          <a:chExt cx="4369583" cy="695004"/>
        </a:xfrm>
      </grpSpPr>
      <pic>
        <nvPicPr>
          <cNvPr id="5" name="Imagem 4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cstate="print" r:embed="rId2"/>
          <a:stretch xmlns:a="http://schemas.openxmlformats.org/drawingml/2006/main">
            <a:fillRect/>
          </a:stretch>
        </blipFill>
        <spPr>
          <a:xfrm xmlns:a="http://schemas.openxmlformats.org/drawingml/2006/main">
            <a:off x="1644651" y="9683750"/>
            <a:ext cx="1199908" cy="562104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drawings/drawing20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485775</colOff>
      <row>2</row>
      <rowOff>123825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628775" cy="498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0</colOff>
      <row>56</row>
      <rowOff>0</rowOff>
    </from>
    <to>
      <col>9</col>
      <colOff>235733</colOff>
      <row>60</row>
      <rowOff>34604</rowOff>
    </to>
    <grpSp>
      <nvGrpSpPr>
        <cNvPr id="3" name="Agrupar 2"/>
        <cNvGrpSpPr/>
      </nvGrpSpPr>
      <grpSpPr>
        <a:xfrm xmlns:a="http://schemas.openxmlformats.org/drawingml/2006/main" rot="0">
          <a:off x="571500" y="9632950"/>
          <a:ext cx="4369583" cy="695004"/>
          <a:chOff x="1644651" y="9645650"/>
          <a:chExt cx="4369583" cy="695004"/>
        </a:xfrm>
      </grpSpPr>
      <pic>
        <nvPicPr>
          <cNvPr id="5" name="Imagem 4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cstate="print" r:embed="rId2"/>
          <a:stretch xmlns:a="http://schemas.openxmlformats.org/drawingml/2006/main">
            <a:fillRect/>
          </a:stretch>
        </blipFill>
        <spPr>
          <a:xfrm xmlns:a="http://schemas.openxmlformats.org/drawingml/2006/main">
            <a:off x="1644651" y="9683750"/>
            <a:ext cx="1199908" cy="562104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drawings/drawing2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485775</colOff>
      <row>2</row>
      <rowOff>123825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628775" cy="498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0</colOff>
      <row>56</row>
      <rowOff>0</rowOff>
    </from>
    <to>
      <col>9</col>
      <colOff>235733</colOff>
      <row>60</row>
      <rowOff>34604</rowOff>
    </to>
    <grpSp>
      <nvGrpSpPr>
        <cNvPr id="3" name="Agrupar 2"/>
        <cNvGrpSpPr/>
      </nvGrpSpPr>
      <grpSpPr>
        <a:xfrm xmlns:a="http://schemas.openxmlformats.org/drawingml/2006/main" rot="0">
          <a:off x="571500" y="9632950"/>
          <a:ext cx="4369583" cy="695004"/>
          <a:chOff x="1644651" y="9645650"/>
          <a:chExt cx="4369583" cy="695004"/>
        </a:xfrm>
      </grpSpPr>
      <pic>
        <nvPicPr>
          <cNvPr id="5" name="Imagem 4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cstate="print" r:embed="rId2"/>
          <a:stretch xmlns:a="http://schemas.openxmlformats.org/drawingml/2006/main">
            <a:fillRect/>
          </a:stretch>
        </blipFill>
        <spPr>
          <a:xfrm xmlns:a="http://schemas.openxmlformats.org/drawingml/2006/main">
            <a:off x="1644651" y="9683750"/>
            <a:ext cx="1199908" cy="562104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drawings/drawing2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485775</colOff>
      <row>2</row>
      <rowOff>123825</rowOff>
    </to>
    <pic>
      <nvPicPr>
        <cNvPr id="1239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628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0</colOff>
      <row>56</row>
      <rowOff>0</rowOff>
    </from>
    <to>
      <col>9</col>
      <colOff>235733</colOff>
      <row>60</row>
      <rowOff>34604</rowOff>
    </to>
    <grpSp>
      <nvGrpSpPr>
        <cNvPr id="2" name="Agrupar 1"/>
        <cNvGrpSpPr/>
      </nvGrpSpPr>
      <grpSpPr>
        <a:xfrm xmlns:a="http://schemas.openxmlformats.org/drawingml/2006/main" rot="0">
          <a:off x="571500" y="9632950"/>
          <a:ext cx="4369583" cy="695004"/>
          <a:chOff x="1644651" y="9645650"/>
          <a:chExt cx="4369583" cy="695004"/>
        </a:xfrm>
      </grpSpPr>
      <pic>
        <nvPicPr>
          <cNvPr id="4" name="Imagem 3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cstate="print" r:embed="rId2"/>
          <a:stretch xmlns:a="http://schemas.openxmlformats.org/drawingml/2006/main">
            <a:fillRect/>
          </a:stretch>
        </blipFill>
        <spPr>
          <a:xfrm xmlns:a="http://schemas.openxmlformats.org/drawingml/2006/main">
            <a:off x="1644651" y="9683750"/>
            <a:ext cx="1199908" cy="562104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AD39"/>
  <sheetViews>
    <sheetView tabSelected="1" topLeftCell="B4" zoomScaleNormal="100" workbookViewId="0">
      <pane xSplit="8" ySplit="11" topLeftCell="J15" activePane="bottomRight" state="frozen"/>
      <selection activeCell="J64" sqref="J64"/>
      <selection pane="topRight" activeCell="J64" sqref="J64"/>
      <selection pane="bottomLeft" activeCell="J64" sqref="J64"/>
      <selection pane="bottomRight" activeCell="AF32" sqref="AF32"/>
    </sheetView>
  </sheetViews>
  <sheetFormatPr baseColWidth="8" defaultRowHeight="12.75"/>
  <cols>
    <col width="12.42578125" bestFit="1" customWidth="1" style="90" min="9" max="9"/>
    <col width="5.7109375" customWidth="1" style="90" min="10" max="30"/>
  </cols>
  <sheetData>
    <row r="2" ht="13.5" customHeight="1" s="90" thickBot="1"/>
    <row r="3" ht="12.75" customHeight="1" s="90" thickBot="1">
      <c r="J3" s="77">
        <f>Auxiliar!$B24</f>
        <v/>
      </c>
      <c r="K3" s="67">
        <f>Auxiliar!$B25</f>
        <v/>
      </c>
      <c r="L3" s="67">
        <f>Auxiliar!$B26</f>
        <v/>
      </c>
      <c r="M3" s="67">
        <f>Auxiliar!$B27</f>
        <v/>
      </c>
      <c r="N3" s="67">
        <f>Auxiliar!$B28</f>
        <v/>
      </c>
      <c r="O3" s="67">
        <f>Auxiliar!$B29</f>
        <v/>
      </c>
      <c r="P3" s="67">
        <f>Auxiliar!$B30</f>
        <v/>
      </c>
      <c r="Q3" s="67">
        <f>Auxiliar!$B31</f>
        <v/>
      </c>
      <c r="R3" s="67">
        <f>Auxiliar!$B32</f>
        <v/>
      </c>
      <c r="S3" s="67">
        <f>Auxiliar!$B33</f>
        <v/>
      </c>
      <c r="T3" s="67">
        <f>Auxiliar!$B34</f>
        <v/>
      </c>
      <c r="U3" s="67">
        <f>Auxiliar!$B35</f>
        <v/>
      </c>
      <c r="V3" s="67">
        <f>Auxiliar!$B36</f>
        <v/>
      </c>
      <c r="W3" s="67">
        <f>Auxiliar!$B37</f>
        <v/>
      </c>
      <c r="X3" s="67">
        <f>Auxiliar!$B38</f>
        <v/>
      </c>
      <c r="Y3" s="67">
        <f>Auxiliar!$B39</f>
        <v/>
      </c>
      <c r="Z3" s="67">
        <f>Auxiliar!$B40</f>
        <v/>
      </c>
      <c r="AA3" s="67">
        <f>Auxiliar!$B41</f>
        <v/>
      </c>
      <c r="AB3" s="67">
        <f>Auxiliar!$B42</f>
        <v/>
      </c>
      <c r="AC3" s="67">
        <f>Auxiliar!$B43</f>
        <v/>
      </c>
      <c r="AD3" s="67">
        <f>Auxiliar!$B44</f>
        <v/>
      </c>
    </row>
    <row r="4">
      <c r="J4" s="7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  <c r="AA4" s="68" t="n"/>
      <c r="AB4" s="68" t="n"/>
      <c r="AC4" s="68" t="n"/>
      <c r="AD4" s="68" t="n"/>
    </row>
    <row r="5">
      <c r="J5" s="7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  <c r="AA5" s="68" t="n"/>
      <c r="AB5" s="68" t="n"/>
      <c r="AC5" s="68" t="n"/>
      <c r="AD5" s="68" t="n"/>
    </row>
    <row r="6">
      <c r="J6" s="78" t="n"/>
      <c r="K6" s="68" t="n"/>
      <c r="L6" s="68" t="n"/>
      <c r="M6" s="68" t="n"/>
      <c r="N6" s="68" t="n"/>
      <c r="O6" s="68" t="n"/>
      <c r="P6" s="68" t="n"/>
      <c r="Q6" s="68" t="n"/>
      <c r="R6" s="68" t="n"/>
      <c r="S6" s="68" t="n"/>
      <c r="T6" s="68" t="n"/>
      <c r="U6" s="68" t="n"/>
      <c r="V6" s="68" t="n"/>
      <c r="W6" s="68" t="n"/>
      <c r="X6" s="68" t="n"/>
      <c r="Y6" s="68" t="n"/>
      <c r="Z6" s="68" t="n"/>
      <c r="AA6" s="68" t="n"/>
      <c r="AB6" s="68" t="n"/>
      <c r="AC6" s="68" t="n"/>
      <c r="AD6" s="68" t="n"/>
    </row>
    <row r="7">
      <c r="J7" s="78" t="n"/>
      <c r="K7" s="68" t="n"/>
      <c r="L7" s="68" t="n"/>
      <c r="M7" s="68" t="n"/>
      <c r="N7" s="68" t="n"/>
      <c r="O7" s="68" t="n"/>
      <c r="P7" s="68" t="n"/>
      <c r="Q7" s="68" t="n"/>
      <c r="R7" s="68" t="n"/>
      <c r="S7" s="68" t="n"/>
      <c r="T7" s="68" t="n"/>
      <c r="U7" s="68" t="n"/>
      <c r="V7" s="68" t="n"/>
      <c r="W7" s="68" t="n"/>
      <c r="X7" s="68" t="n"/>
      <c r="Y7" s="68" t="n"/>
      <c r="Z7" s="68" t="n"/>
      <c r="AA7" s="68" t="n"/>
      <c r="AB7" s="68" t="n"/>
      <c r="AC7" s="68" t="n"/>
      <c r="AD7" s="68" t="n"/>
    </row>
    <row r="8">
      <c r="J8" s="78" t="n"/>
      <c r="K8" s="68" t="n"/>
      <c r="L8" s="68" t="n"/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  <c r="W8" s="68" t="n"/>
      <c r="X8" s="68" t="n"/>
      <c r="Y8" s="68" t="n"/>
      <c r="Z8" s="68" t="n"/>
      <c r="AA8" s="68" t="n"/>
      <c r="AB8" s="68" t="n"/>
      <c r="AC8" s="68" t="n"/>
      <c r="AD8" s="68" t="n"/>
    </row>
    <row r="9">
      <c r="J9" s="78" t="n"/>
      <c r="K9" s="68" t="n"/>
      <c r="L9" s="68" t="n"/>
      <c r="M9" s="68" t="n"/>
      <c r="N9" s="68" t="n"/>
      <c r="O9" s="68" t="n"/>
      <c r="P9" s="68" t="n"/>
      <c r="Q9" s="68" t="n"/>
      <c r="R9" s="68" t="n"/>
      <c r="S9" s="68" t="n"/>
      <c r="T9" s="68" t="n"/>
      <c r="U9" s="68" t="n"/>
      <c r="V9" s="68" t="n"/>
      <c r="W9" s="68" t="n"/>
      <c r="X9" s="68" t="n"/>
      <c r="Y9" s="68" t="n"/>
      <c r="Z9" s="68" t="n"/>
      <c r="AA9" s="68" t="n"/>
      <c r="AB9" s="68" t="n"/>
      <c r="AC9" s="68" t="n"/>
      <c r="AD9" s="68" t="n"/>
    </row>
    <row r="10">
      <c r="J10" s="78" t="n"/>
      <c r="K10" s="68" t="n"/>
      <c r="L10" s="68" t="n"/>
      <c r="M10" s="68" t="n"/>
      <c r="N10" s="68" t="n"/>
      <c r="O10" s="68" t="n"/>
      <c r="P10" s="68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n"/>
      <c r="Z10" s="68" t="n"/>
      <c r="AA10" s="68" t="n"/>
      <c r="AB10" s="68" t="n"/>
      <c r="AC10" s="68" t="n"/>
      <c r="AD10" s="68" t="n"/>
    </row>
    <row r="11">
      <c r="J11" s="78" t="n"/>
      <c r="K11" s="68" t="n"/>
      <c r="L11" s="68" t="n"/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  <c r="Z11" s="68" t="n"/>
      <c r="AA11" s="68" t="n"/>
      <c r="AB11" s="68" t="n"/>
      <c r="AC11" s="68" t="n"/>
      <c r="AD11" s="68" t="n"/>
    </row>
    <row r="12">
      <c r="J12" s="78" t="n"/>
      <c r="K12" s="68" t="n"/>
      <c r="L12" s="68" t="n"/>
      <c r="M12" s="68" t="n"/>
      <c r="N12" s="68" t="n"/>
      <c r="O12" s="68" t="n"/>
      <c r="P12" s="68" t="n"/>
      <c r="Q12" s="68" t="n"/>
      <c r="R12" s="68" t="n"/>
      <c r="S12" s="68" t="n"/>
      <c r="T12" s="68" t="n"/>
      <c r="U12" s="68" t="n"/>
      <c r="V12" s="68" t="n"/>
      <c r="W12" s="68" t="n"/>
      <c r="X12" s="68" t="n"/>
      <c r="Y12" s="68" t="n"/>
      <c r="Z12" s="68" t="n"/>
      <c r="AA12" s="68" t="n"/>
      <c r="AB12" s="68" t="n"/>
      <c r="AC12" s="68" t="n"/>
      <c r="AD12" s="68" t="n"/>
    </row>
    <row r="13" ht="66.75" customHeight="1" s="90" thickBot="1">
      <c r="J13" s="79" t="n"/>
      <c r="K13" s="69" t="n"/>
      <c r="L13" s="69" t="n"/>
      <c r="M13" s="69" t="n"/>
      <c r="N13" s="69" t="n"/>
      <c r="O13" s="69" t="n"/>
      <c r="P13" s="69" t="n"/>
      <c r="Q13" s="69" t="n"/>
      <c r="R13" s="69" t="n"/>
      <c r="S13" s="69" t="n"/>
      <c r="T13" s="69" t="n"/>
      <c r="U13" s="69" t="n"/>
      <c r="V13" s="69" t="n"/>
      <c r="W13" s="69" t="n"/>
      <c r="X13" s="69" t="n"/>
      <c r="Y13" s="69" t="n"/>
      <c r="Z13" s="69" t="n"/>
      <c r="AA13" s="69" t="n"/>
      <c r="AB13" s="69" t="n"/>
      <c r="AC13" s="69" t="n"/>
      <c r="AD13" s="69" t="n"/>
    </row>
    <row r="14" ht="13.5" customHeight="1" s="90" thickBot="1">
      <c r="C14" s="73" t="inlineStr">
        <is>
          <t>A – Desenvolvimento do Projeto</t>
        </is>
      </c>
      <c r="D14" s="74" t="n"/>
      <c r="E14" s="74" t="n"/>
      <c r="F14" s="74" t="n"/>
      <c r="G14" s="74" t="n"/>
      <c r="H14" s="74" t="n"/>
      <c r="I14" s="74" t="n"/>
      <c r="J14" s="80" t="n"/>
      <c r="K14" s="81" t="n"/>
      <c r="L14" s="81" t="n"/>
      <c r="M14" s="81" t="n"/>
      <c r="N14" s="81" t="n"/>
      <c r="O14" s="81" t="n"/>
      <c r="P14" s="81" t="n"/>
      <c r="Q14" s="81" t="n"/>
      <c r="R14" s="81" t="n"/>
      <c r="S14" s="81" t="n"/>
      <c r="T14" s="81" t="n"/>
      <c r="U14" s="81" t="n"/>
      <c r="V14" s="81" t="n"/>
      <c r="W14" s="81" t="n"/>
      <c r="X14" s="81" t="n"/>
      <c r="Y14" s="81" t="n"/>
      <c r="Z14" s="81" t="n"/>
      <c r="AA14" s="81" t="n"/>
      <c r="AB14" s="81" t="n"/>
      <c r="AC14" s="81" t="n"/>
      <c r="AD14" s="81" t="n"/>
    </row>
    <row r="15" ht="13.5" customHeight="1" s="90" thickBot="1">
      <c r="C15" s="75" t="inlineStr">
        <is>
          <t>Definição dos objetivos do projeto</t>
        </is>
      </c>
      <c r="D15" s="63" t="n"/>
      <c r="E15" s="63" t="n"/>
      <c r="F15" s="63" t="n"/>
      <c r="G15" s="63" t="n"/>
      <c r="H15" s="63" t="n"/>
      <c r="I15" s="76" t="n"/>
      <c r="J15" s="18" t="n">
        <v>12</v>
      </c>
      <c r="K15" s="18" t="n">
        <v>12</v>
      </c>
      <c r="L15" s="18" t="n">
        <v>17</v>
      </c>
      <c r="M15" s="18" t="n">
        <v>12</v>
      </c>
      <c r="N15" s="18" t="n">
        <v>12</v>
      </c>
      <c r="O15" s="18" t="n">
        <v>12</v>
      </c>
      <c r="P15" s="18" t="n"/>
      <c r="Q15" s="23" t="n"/>
      <c r="R15" s="18" t="n">
        <v>14</v>
      </c>
      <c r="S15" s="18" t="n"/>
      <c r="T15" s="18" t="n"/>
      <c r="U15" s="18" t="n"/>
      <c r="V15" s="18" t="n"/>
      <c r="W15" s="23" t="n"/>
      <c r="X15" s="18" t="n"/>
      <c r="Y15" s="18" t="n"/>
      <c r="Z15" s="18" t="n"/>
      <c r="AA15" s="23" t="n"/>
      <c r="AB15" s="18" t="n"/>
      <c r="AC15" s="18" t="n"/>
      <c r="AD15" s="18" t="n"/>
    </row>
    <row r="16" ht="13.5" customHeight="1" s="90" thickBot="1">
      <c r="C16" s="64" t="inlineStr">
        <is>
          <t>Qualidade científica e técnica</t>
        </is>
      </c>
      <c r="D16" s="65" t="n"/>
      <c r="E16" s="65" t="n"/>
      <c r="F16" s="65" t="n"/>
      <c r="G16" s="65" t="n"/>
      <c r="H16" s="65" t="n"/>
      <c r="I16" s="66" t="n"/>
      <c r="J16" s="18" t="n">
        <v>15</v>
      </c>
      <c r="K16" s="18" t="n">
        <v>10</v>
      </c>
      <c r="L16" s="18" t="n">
        <v>13</v>
      </c>
      <c r="M16" s="18" t="n">
        <v>10</v>
      </c>
      <c r="N16" s="18" t="n">
        <v>15</v>
      </c>
      <c r="O16" s="18" t="n">
        <v>13</v>
      </c>
      <c r="P16" s="18" t="n"/>
      <c r="Q16" s="24" t="n"/>
      <c r="R16" s="18" t="n">
        <v>15</v>
      </c>
      <c r="S16" s="18" t="n"/>
      <c r="T16" s="18" t="n"/>
      <c r="U16" s="18" t="n"/>
      <c r="V16" s="18" t="n"/>
      <c r="W16" s="24" t="n"/>
      <c r="X16" s="18" t="n"/>
      <c r="Y16" s="18" t="n"/>
      <c r="Z16" s="18" t="n"/>
      <c r="AA16" s="24" t="n"/>
      <c r="AB16" s="18" t="n"/>
      <c r="AC16" s="18" t="n"/>
      <c r="AD16" s="18" t="n"/>
    </row>
    <row r="17" ht="13.5" customHeight="1" s="90" thickBot="1">
      <c r="C17" s="64" t="inlineStr">
        <is>
          <t>Pertinência, criatividade e inovação</t>
        </is>
      </c>
      <c r="D17" s="65" t="n"/>
      <c r="E17" s="65" t="n"/>
      <c r="F17" s="65" t="n"/>
      <c r="G17" s="65" t="n"/>
      <c r="H17" s="65" t="n"/>
      <c r="I17" s="66" t="n"/>
      <c r="J17" s="18" t="n">
        <v>13</v>
      </c>
      <c r="K17" s="18" t="n">
        <v>11</v>
      </c>
      <c r="L17" s="18" t="n">
        <v>12</v>
      </c>
      <c r="M17" s="18" t="n">
        <v>12</v>
      </c>
      <c r="N17" s="18" t="n">
        <v>14</v>
      </c>
      <c r="O17" s="18" t="n">
        <v>13</v>
      </c>
      <c r="P17" s="18" t="n">
        <v>14</v>
      </c>
      <c r="Q17" s="24" t="n"/>
      <c r="R17" s="18" t="n"/>
      <c r="S17" s="18" t="n"/>
      <c r="T17" s="18" t="n">
        <v>10</v>
      </c>
      <c r="U17" s="18" t="n"/>
      <c r="V17" s="18" t="n"/>
      <c r="W17" s="24" t="n"/>
      <c r="X17" s="18" t="n"/>
      <c r="Y17" s="18" t="n"/>
      <c r="Z17" s="18" t="n"/>
      <c r="AA17" s="24" t="n"/>
      <c r="AB17" s="18" t="n"/>
      <c r="AC17" s="18" t="n"/>
      <c r="AD17" s="18" t="n"/>
    </row>
    <row r="18" ht="13.5" customHeight="1" s="90" thickBot="1">
      <c r="C18" s="64" t="inlineStr">
        <is>
          <t>Planeamento dos recursos necessários</t>
        </is>
      </c>
      <c r="D18" s="65" t="n"/>
      <c r="E18" s="65" t="n"/>
      <c r="F18" s="65" t="n"/>
      <c r="G18" s="65" t="n"/>
      <c r="H18" s="65" t="n"/>
      <c r="I18" s="66" t="n"/>
      <c r="J18" s="18" t="n">
        <v>14</v>
      </c>
      <c r="K18" s="18" t="n">
        <v>11</v>
      </c>
      <c r="L18" s="18" t="n">
        <v>12</v>
      </c>
      <c r="M18" s="18" t="n">
        <v>12</v>
      </c>
      <c r="N18" s="18" t="n">
        <v>13</v>
      </c>
      <c r="O18" s="18" t="n">
        <v>12</v>
      </c>
      <c r="P18" s="18" t="n"/>
      <c r="Q18" s="24" t="n"/>
      <c r="R18" s="18" t="n"/>
      <c r="S18" s="18" t="n"/>
      <c r="T18" s="18" t="n"/>
      <c r="U18" s="18" t="n"/>
      <c r="V18" s="18" t="n"/>
      <c r="W18" s="24" t="n">
        <v>12</v>
      </c>
      <c r="X18" s="18" t="n"/>
      <c r="Y18" s="18" t="n"/>
      <c r="Z18" s="18" t="n"/>
      <c r="AA18" s="24" t="n"/>
      <c r="AB18" s="18" t="n"/>
      <c r="AC18" s="18" t="n"/>
      <c r="AD18" s="18" t="n"/>
    </row>
    <row r="19" ht="13.5" customHeight="1" s="90" thickBot="1">
      <c r="C19" s="64" t="inlineStr">
        <is>
          <t>Definição das fases de execução do projeto</t>
        </is>
      </c>
      <c r="D19" s="65" t="n"/>
      <c r="E19" s="65" t="n"/>
      <c r="F19" s="65" t="n"/>
      <c r="G19" s="65" t="n"/>
      <c r="H19" s="65" t="n"/>
      <c r="I19" s="66" t="n"/>
      <c r="J19" s="18" t="n">
        <v>12</v>
      </c>
      <c r="K19" s="18" t="n">
        <v>17</v>
      </c>
      <c r="L19" s="18" t="n">
        <v>20</v>
      </c>
      <c r="M19" s="18" t="n">
        <v>13</v>
      </c>
      <c r="N19" s="18" t="n">
        <v>8</v>
      </c>
      <c r="O19" s="18" t="n">
        <v>12</v>
      </c>
      <c r="P19" s="18" t="n"/>
      <c r="Q19" s="24" t="n">
        <v>16</v>
      </c>
      <c r="R19" s="18" t="n">
        <v>12</v>
      </c>
      <c r="S19" s="18" t="n"/>
      <c r="T19" s="18" t="n">
        <v>17</v>
      </c>
      <c r="U19" s="18" t="n"/>
      <c r="V19" s="18" t="n">
        <v>12</v>
      </c>
      <c r="W19" s="24" t="n"/>
      <c r="X19" s="18" t="n">
        <v>12</v>
      </c>
      <c r="Y19" s="18" t="n"/>
      <c r="Z19" s="18" t="n"/>
      <c r="AA19" s="24" t="n"/>
      <c r="AB19" s="18" t="n">
        <v>13</v>
      </c>
      <c r="AC19" s="18" t="n"/>
      <c r="AD19" s="18" t="n"/>
    </row>
    <row r="20" ht="13.5" customHeight="1" s="90" thickBot="1">
      <c r="C20" s="64" t="inlineStr">
        <is>
          <t>Autonomia</t>
        </is>
      </c>
      <c r="D20" s="65" t="n"/>
      <c r="E20" s="65" t="n"/>
      <c r="F20" s="65" t="n"/>
      <c r="G20" s="65" t="n"/>
      <c r="H20" s="65" t="n"/>
      <c r="I20" s="66" t="n"/>
      <c r="J20" s="18" t="n">
        <v>11</v>
      </c>
      <c r="K20" s="18" t="n">
        <v>12</v>
      </c>
      <c r="L20" s="18" t="n">
        <v>12</v>
      </c>
      <c r="M20" s="18" t="n">
        <v>20</v>
      </c>
      <c r="N20" s="18" t="n">
        <v>11</v>
      </c>
      <c r="O20" s="18" t="n">
        <v>12</v>
      </c>
      <c r="P20" s="18" t="n"/>
      <c r="Q20" s="24" t="n"/>
      <c r="R20" s="18" t="n"/>
      <c r="S20" s="18" t="n"/>
      <c r="T20" s="18" t="n"/>
      <c r="U20" s="18" t="n"/>
      <c r="V20" s="18" t="n"/>
      <c r="W20" s="24" t="n"/>
      <c r="X20" s="18" t="n"/>
      <c r="Y20" s="18" t="n"/>
      <c r="Z20" s="18" t="n"/>
      <c r="AA20" s="24" t="n"/>
      <c r="AB20" s="18" t="n"/>
      <c r="AC20" s="18" t="n"/>
      <c r="AD20" s="18" t="n"/>
    </row>
    <row r="21" ht="13.5" customHeight="1" s="90" thickBot="1">
      <c r="C21" s="87" t="inlineStr">
        <is>
          <t>Sentido de responsabilidade e gestão do tempo</t>
        </is>
      </c>
      <c r="D21" s="72" t="n"/>
      <c r="E21" s="72" t="n"/>
      <c r="F21" s="72" t="n"/>
      <c r="G21" s="72" t="n"/>
      <c r="H21" s="72" t="n"/>
      <c r="I21" s="88" t="n"/>
      <c r="J21" s="18" t="n">
        <v>16</v>
      </c>
      <c r="K21" s="18" t="n">
        <v>12</v>
      </c>
      <c r="L21" s="18" t="n">
        <v>14</v>
      </c>
      <c r="M21" s="18" t="n">
        <v>8</v>
      </c>
      <c r="N21" s="18" t="n">
        <v>18</v>
      </c>
      <c r="O21" s="18" t="n">
        <v>12</v>
      </c>
      <c r="P21" s="18" t="n"/>
      <c r="Q21" s="24" t="n"/>
      <c r="R21" s="18" t="n"/>
      <c r="S21" s="18" t="n"/>
      <c r="T21" s="18" t="n"/>
      <c r="U21" s="18" t="n"/>
      <c r="V21" s="18" t="n"/>
      <c r="W21" s="24" t="n"/>
      <c r="X21" s="18" t="n"/>
      <c r="Y21" s="18" t="n"/>
      <c r="Z21" s="18" t="n"/>
      <c r="AA21" s="24" t="n"/>
      <c r="AB21" s="18" t="n"/>
      <c r="AC21" s="18" t="n"/>
      <c r="AD21" s="18" t="n"/>
    </row>
    <row r="22" ht="15.75" customHeight="1" s="90" thickBot="1">
      <c r="C22" s="85" t="inlineStr">
        <is>
          <t>Total:</t>
        </is>
      </c>
      <c r="D22" s="74" t="n"/>
      <c r="E22" s="74" t="n"/>
      <c r="F22" s="74" t="n"/>
      <c r="G22" s="74" t="n"/>
      <c r="H22" s="74" t="n"/>
      <c r="I22" s="86" t="n"/>
      <c r="J22" s="19">
        <f>IF(COUNT(J15:J21)&gt;0,ROUND(AVERAGE(J15:J21),1),"")</f>
        <v/>
      </c>
      <c r="K22" s="19">
        <f>IF(COUNT(K15:K21)&gt;0,ROUND(AVERAGE(K15:K21),1),"")</f>
        <v/>
      </c>
      <c r="L22" s="19">
        <f>IF(COUNT(L15:L21)&gt;0,ROUND(AVERAGE(L15:L21),1),"")</f>
        <v/>
      </c>
      <c r="M22" s="19">
        <f>IF(COUNT(M15:M21)&gt;0,ROUND(AVERAGE(M15:M21),1),"")</f>
        <v/>
      </c>
      <c r="N22" s="19">
        <f>IF(COUNT(N15:N21)&gt;0,ROUND(AVERAGE(N15:N21),1),"")</f>
        <v/>
      </c>
      <c r="O22" s="19">
        <f>IF(COUNT(O15:O21)&gt;0,ROUND(AVERAGE(O15:O21),1),"")</f>
        <v/>
      </c>
      <c r="P22" s="19">
        <f>IF(COUNT(P15:P21)&gt;0,ROUND(AVERAGE(P15:P21),1),"")</f>
        <v/>
      </c>
      <c r="Q22" s="19">
        <f>IF(COUNT(Q15:Q21)&gt;0,ROUND(AVERAGE(Q15:Q21),1),"")</f>
        <v/>
      </c>
      <c r="R22" s="19">
        <f>IF(COUNT(R15:R21)&gt;0,ROUND(AVERAGE(R15:R21),1),"")</f>
        <v/>
      </c>
      <c r="S22" s="19">
        <f>IF(COUNT(S15:S21)&gt;0,ROUND(AVERAGE(S15:S21),1),"")</f>
        <v/>
      </c>
      <c r="T22" s="19">
        <f>IF(COUNT(T15:T21)&gt;0,ROUND(AVERAGE(T15:T21),1),"")</f>
        <v/>
      </c>
      <c r="U22" s="19">
        <f>IF(COUNT(U15:U21)&gt;0,ROUND(AVERAGE(U15:U21),1),"")</f>
        <v/>
      </c>
      <c r="V22" s="19">
        <f>IF(COUNT(V15:V21)&gt;0,ROUND(AVERAGE(V15:V21),1),"")</f>
        <v/>
      </c>
      <c r="W22" s="19">
        <f>IF(COUNT(W15:W21)&gt;0,ROUND(AVERAGE(W15:W21),1),"")</f>
        <v/>
      </c>
      <c r="X22" s="19">
        <f>IF(COUNT(X15:X21)&gt;0,ROUND(AVERAGE(X15:X21),1),"")</f>
        <v/>
      </c>
      <c r="Y22" s="19">
        <f>IF(COUNT(Y15:Y21)&gt;0,ROUND(AVERAGE(Y15:Y21),1),"")</f>
        <v/>
      </c>
      <c r="Z22" s="19">
        <f>IF(COUNT(Z15:Z21)&gt;0,ROUND(AVERAGE(Z15:Z21),1),"")</f>
        <v/>
      </c>
      <c r="AA22" s="19">
        <f>IF(COUNT(AA15:AA21)&gt;0,ROUND(AVERAGE(AA15:AA21),1),"")</f>
        <v/>
      </c>
      <c r="AB22" s="19">
        <f>IF(COUNT(AB15:AB21)&gt;0,ROUND(AVERAGE(AB15:AB21),1),"")</f>
        <v/>
      </c>
      <c r="AC22" s="19">
        <f>IF(COUNT(AC15:AC21)&gt;0,ROUND(AVERAGE(AC15:AC21),1),"")</f>
        <v/>
      </c>
      <c r="AD22" s="19">
        <f>IF(COUNT(AD15:AD21)&gt;0,ROUND(AVERAGE(AD15:AD21),1),"")</f>
        <v/>
      </c>
    </row>
    <row r="23" ht="13.5" customHeight="1" s="90" thickBot="1">
      <c r="C23" s="62" t="inlineStr">
        <is>
          <t>B – Relatório final</t>
        </is>
      </c>
      <c r="D23" s="63" t="n"/>
      <c r="E23" s="63" t="n"/>
      <c r="F23" s="63" t="n"/>
      <c r="G23" s="63" t="n"/>
      <c r="H23" s="63" t="n"/>
      <c r="I23" s="63" t="n"/>
      <c r="J23" s="83" t="n"/>
      <c r="K23" s="81" t="n"/>
      <c r="L23" s="81" t="n"/>
      <c r="M23" s="81" t="n"/>
      <c r="N23" s="81" t="n"/>
      <c r="O23" s="81" t="n"/>
      <c r="P23" s="81" t="n"/>
      <c r="Q23" s="81" t="n"/>
      <c r="R23" s="81" t="n"/>
      <c r="S23" s="81" t="n"/>
      <c r="T23" s="81" t="n"/>
      <c r="U23" s="81" t="n"/>
      <c r="V23" s="81" t="n"/>
      <c r="W23" s="81" t="n"/>
      <c r="X23" s="81" t="n"/>
      <c r="Y23" s="81" t="n"/>
      <c r="Z23" s="81" t="n"/>
      <c r="AA23" s="81" t="n"/>
      <c r="AB23" s="81" t="n"/>
      <c r="AC23" s="81" t="n"/>
      <c r="AD23" s="81" t="n"/>
    </row>
    <row r="24" ht="13.5" customHeight="1" s="90" thickBot="1">
      <c r="C24" s="70" t="inlineStr">
        <is>
          <t>Objetividade</t>
        </is>
      </c>
      <c r="D24" s="65" t="n"/>
      <c r="E24" s="65" t="n"/>
      <c r="F24" s="65" t="n"/>
      <c r="G24" s="65" t="n"/>
      <c r="H24" s="65" t="n"/>
      <c r="I24" s="65" t="n"/>
      <c r="J24" s="18" t="n">
        <v>12</v>
      </c>
      <c r="K24" s="18" t="n"/>
      <c r="L24" s="18" t="n"/>
      <c r="M24" s="18" t="n"/>
      <c r="N24" s="18" t="n">
        <v>15</v>
      </c>
      <c r="O24" s="18" t="n">
        <v>18</v>
      </c>
      <c r="P24" s="18" t="n">
        <v>18</v>
      </c>
      <c r="Q24" s="23" t="n"/>
      <c r="R24" s="18" t="n">
        <v>18</v>
      </c>
      <c r="S24" s="18" t="n">
        <v>18</v>
      </c>
      <c r="T24" s="18" t="n"/>
      <c r="U24" s="18" t="n">
        <v>18</v>
      </c>
      <c r="V24" s="18" t="n">
        <v>15</v>
      </c>
      <c r="W24" s="23" t="n"/>
      <c r="X24" s="18" t="n"/>
      <c r="Y24" s="18" t="n">
        <v>18</v>
      </c>
      <c r="Z24" s="18" t="n">
        <v>17</v>
      </c>
      <c r="AA24" s="18" t="n">
        <v>16</v>
      </c>
      <c r="AB24" s="18" t="n"/>
      <c r="AC24" s="18" t="n">
        <v>18</v>
      </c>
      <c r="AD24" s="18" t="n">
        <v>18</v>
      </c>
    </row>
    <row r="25" ht="13.5" customHeight="1" s="90" thickBot="1">
      <c r="C25" s="70" t="inlineStr">
        <is>
          <t>Pertinência das informações</t>
        </is>
      </c>
      <c r="D25" s="65" t="n"/>
      <c r="E25" s="65" t="n"/>
      <c r="F25" s="65" t="n"/>
      <c r="G25" s="65" t="n"/>
      <c r="H25" s="65" t="n"/>
      <c r="I25" s="65" t="n"/>
      <c r="J25" s="18" t="n"/>
      <c r="K25" s="18" t="n">
        <v>14</v>
      </c>
      <c r="L25" s="18" t="n"/>
      <c r="M25" s="18" t="n"/>
      <c r="N25" s="18" t="n">
        <v>19</v>
      </c>
      <c r="O25" s="18" t="n">
        <v>16</v>
      </c>
      <c r="P25" s="18" t="n">
        <v>16</v>
      </c>
      <c r="Q25" s="24" t="n"/>
      <c r="R25" s="18" t="n">
        <v>16</v>
      </c>
      <c r="S25" s="18" t="n">
        <v>16</v>
      </c>
      <c r="T25" s="18" t="n"/>
      <c r="U25" s="18" t="n">
        <v>16</v>
      </c>
      <c r="V25" s="18" t="n">
        <v>12</v>
      </c>
      <c r="W25" s="24" t="n"/>
      <c r="X25" s="18" t="n"/>
      <c r="Y25" s="18" t="n">
        <v>19</v>
      </c>
      <c r="Z25" s="18" t="n">
        <v>20</v>
      </c>
      <c r="AA25" s="18" t="n">
        <v>18</v>
      </c>
      <c r="AB25" s="18" t="n"/>
      <c r="AC25" s="18" t="n">
        <v>16</v>
      </c>
      <c r="AD25" s="18" t="n">
        <v>16</v>
      </c>
    </row>
    <row r="26" ht="13.5" customHeight="1" s="90" thickBot="1">
      <c r="C26" s="70" t="inlineStr">
        <is>
          <t>Identificação das dificuldades e meios de as superar</t>
        </is>
      </c>
      <c r="D26" s="65" t="n"/>
      <c r="E26" s="65" t="n"/>
      <c r="F26" s="65" t="n"/>
      <c r="G26" s="65" t="n"/>
      <c r="H26" s="65" t="n"/>
      <c r="I26" s="65" t="n"/>
      <c r="J26" s="18" t="n"/>
      <c r="K26" s="18" t="n"/>
      <c r="L26" s="18" t="n"/>
      <c r="M26" s="18" t="n"/>
      <c r="N26" s="18" t="n">
        <v>14</v>
      </c>
      <c r="O26" s="18" t="n">
        <v>17</v>
      </c>
      <c r="P26" s="18" t="n">
        <v>17</v>
      </c>
      <c r="Q26" s="24" t="n"/>
      <c r="R26" s="18" t="n">
        <v>17</v>
      </c>
      <c r="S26" s="18" t="n">
        <v>19</v>
      </c>
      <c r="T26" s="18" t="n"/>
      <c r="U26" s="18" t="n">
        <v>10</v>
      </c>
      <c r="V26" s="18" t="n">
        <v>14</v>
      </c>
      <c r="W26" s="24" t="n"/>
      <c r="X26" s="18" t="n"/>
      <c r="Y26" s="18" t="n">
        <v>16</v>
      </c>
      <c r="Z26" s="18" t="n">
        <v>15</v>
      </c>
      <c r="AA26" s="18" t="n">
        <v>12</v>
      </c>
      <c r="AB26" s="18" t="n"/>
      <c r="AC26" s="18" t="n">
        <v>17</v>
      </c>
      <c r="AD26" s="18" t="n">
        <v>17</v>
      </c>
    </row>
    <row r="27" ht="13.5" customHeight="1" s="90" thickBot="1">
      <c r="C27" s="70" t="inlineStr">
        <is>
          <t>Capacidade de análise crítica</t>
        </is>
      </c>
      <c r="D27" s="65" t="n"/>
      <c r="E27" s="65" t="n"/>
      <c r="F27" s="65" t="n"/>
      <c r="G27" s="65" t="n"/>
      <c r="H27" s="65" t="n"/>
      <c r="I27" s="65" t="n"/>
      <c r="J27" s="18" t="n"/>
      <c r="K27" s="18" t="n"/>
      <c r="L27" s="18" t="n"/>
      <c r="M27" s="18" t="n">
        <v>10</v>
      </c>
      <c r="N27" s="18" t="n">
        <v>13</v>
      </c>
      <c r="O27" s="18" t="n">
        <v>15</v>
      </c>
      <c r="P27" s="18" t="n">
        <v>19</v>
      </c>
      <c r="Q27" s="24" t="n"/>
      <c r="R27" s="18" t="n">
        <v>19</v>
      </c>
      <c r="S27" s="18" t="n">
        <v>17</v>
      </c>
      <c r="T27" s="18" t="n"/>
      <c r="U27" s="18" t="n">
        <v>17</v>
      </c>
      <c r="V27" s="18" t="n">
        <v>13</v>
      </c>
      <c r="W27" s="24" t="n"/>
      <c r="X27" s="18" t="n"/>
      <c r="Y27" s="18" t="n">
        <v>15</v>
      </c>
      <c r="Z27" s="18" t="n">
        <v>16</v>
      </c>
      <c r="AA27" s="18" t="n">
        <v>17</v>
      </c>
      <c r="AB27" s="18" t="n"/>
      <c r="AC27" s="18" t="n">
        <v>19</v>
      </c>
      <c r="AD27" s="18" t="n">
        <v>19</v>
      </c>
    </row>
    <row r="28" ht="13.5" customHeight="1" s="90" thickBot="1">
      <c r="C28" s="70" t="inlineStr">
        <is>
          <t>Sentido de responsabilidade e gestão do tempo</t>
        </is>
      </c>
      <c r="D28" s="65" t="n"/>
      <c r="E28" s="65" t="n"/>
      <c r="F28" s="65" t="n"/>
      <c r="G28" s="65" t="n"/>
      <c r="H28" s="65" t="n"/>
      <c r="I28" s="65" t="n"/>
      <c r="J28" s="18" t="n"/>
      <c r="K28" s="18" t="n"/>
      <c r="L28" s="18" t="n">
        <v>12</v>
      </c>
      <c r="M28" s="18" t="n"/>
      <c r="N28" s="18" t="n">
        <v>14</v>
      </c>
      <c r="O28" s="18" t="n">
        <v>14</v>
      </c>
      <c r="P28" s="18" t="n">
        <v>12</v>
      </c>
      <c r="Q28" s="24" t="n"/>
      <c r="R28" s="18" t="n">
        <v>13</v>
      </c>
      <c r="S28" s="18" t="n">
        <v>14</v>
      </c>
      <c r="T28" s="18" t="n"/>
      <c r="U28" s="18" t="n">
        <v>19</v>
      </c>
      <c r="V28" s="18" t="n">
        <v>12</v>
      </c>
      <c r="W28" s="24" t="n"/>
      <c r="X28" s="18" t="n"/>
      <c r="Y28" s="18" t="n">
        <v>16</v>
      </c>
      <c r="Z28" s="18" t="n"/>
      <c r="AA28" s="18" t="n"/>
      <c r="AB28" s="18" t="n"/>
      <c r="AC28" s="18" t="n"/>
      <c r="AD28" s="18" t="n"/>
    </row>
    <row r="29" ht="15.75" customHeight="1" s="90" thickBot="1">
      <c r="C29" s="82" t="inlineStr">
        <is>
          <t>Total:</t>
        </is>
      </c>
      <c r="D29" s="72" t="n"/>
      <c r="E29" s="72" t="n"/>
      <c r="F29" s="72" t="n"/>
      <c r="G29" s="72" t="n"/>
      <c r="H29" s="72" t="n"/>
      <c r="I29" s="72" t="n"/>
      <c r="J29" s="20">
        <f>IF(COUNT(J24:J28)&gt;0,ROUND(AVERAGE(J24:J28),1),"")</f>
        <v/>
      </c>
      <c r="K29" s="20">
        <f>IF(COUNT(K24:K28)&gt;0,ROUND(AVERAGE(K24:K28),1),"")</f>
        <v/>
      </c>
      <c r="L29" s="20">
        <f>IF(COUNT(L24:L28)&gt;0,ROUND(AVERAGE(L24:L28),1),"")</f>
        <v/>
      </c>
      <c r="M29" s="20">
        <f>IF(COUNT(M24:M28)&gt;0,ROUND(AVERAGE(M24:M28),1),"")</f>
        <v/>
      </c>
      <c r="N29" s="20">
        <f>IF(COUNT(N24:N28)&gt;0,ROUND(AVERAGE(N24:N28),1),"")</f>
        <v/>
      </c>
      <c r="O29" s="20">
        <f>IF(COUNT(O24:O28)&gt;0,ROUND(AVERAGE(O24:O28),1),"")</f>
        <v/>
      </c>
      <c r="P29" s="20">
        <f>IF(COUNT(P24:P28)&gt;0,ROUND(AVERAGE(P24:P28),1),"")</f>
        <v/>
      </c>
      <c r="Q29" s="20">
        <f>IF(COUNT(Q24:Q28)&gt;0,ROUND(AVERAGE(Q24:Q28),1),"")</f>
        <v/>
      </c>
      <c r="R29" s="20">
        <f>IF(COUNT(R24:R28)&gt;0,ROUND(AVERAGE(R24:R28),1),"")</f>
        <v/>
      </c>
      <c r="S29" s="20">
        <f>IF(COUNT(S24:S28)&gt;0,ROUND(AVERAGE(S24:S28),1),"")</f>
        <v/>
      </c>
      <c r="T29" s="20">
        <f>IF(COUNT(T24:T28)&gt;0,ROUND(AVERAGE(T24:T28),1),"")</f>
        <v/>
      </c>
      <c r="U29" s="20">
        <f>IF(COUNT(U24:U28)&gt;0,ROUND(AVERAGE(U24:U28),1),"")</f>
        <v/>
      </c>
      <c r="V29" s="20">
        <f>IF(COUNT(V24:V28)&gt;0,ROUND(AVERAGE(V24:V28),1),"")</f>
        <v/>
      </c>
      <c r="W29" s="20">
        <f>IF(COUNT(W24:W28)&gt;0,ROUND(AVERAGE(W24:W28),1),"")</f>
        <v/>
      </c>
      <c r="X29" s="20">
        <f>IF(COUNT(X24:X28)&gt;0,ROUND(AVERAGE(X24:X28),1),"")</f>
        <v/>
      </c>
      <c r="Y29" s="20">
        <f>IF(COUNT(Y24:Y28)&gt;0,ROUND(AVERAGE(Y24:Y28),1),"")</f>
        <v/>
      </c>
      <c r="Z29" s="20">
        <f>IF(COUNT(Z24:Z28)&gt;0,ROUND(AVERAGE(Z24:Z28),1),"")</f>
        <v/>
      </c>
      <c r="AA29" s="20">
        <f>IF(COUNT(AA24:AA28)&gt;0,ROUND(AVERAGE(AA24:AA28),1),"")</f>
        <v/>
      </c>
      <c r="AB29" s="20">
        <f>IF(COUNT(AB24:AB28)&gt;0,ROUND(AVERAGE(AB24:AB28),1),"")</f>
        <v/>
      </c>
      <c r="AC29" s="20">
        <f>IF(COUNT(AC24:AC28)&gt;0,ROUND(AVERAGE(AC24:AC28),1),"")</f>
        <v/>
      </c>
      <c r="AD29" s="20">
        <f>IF(COUNT(AD24:AD28)&gt;0,ROUND(AVERAGE(AD24:AD28),1),"")</f>
        <v/>
      </c>
    </row>
    <row r="30" ht="13.5" customHeight="1" s="90" thickBot="1">
      <c r="C30" s="73" t="inlineStr">
        <is>
          <t>C – Apresentação e Defesa do Projeto</t>
        </is>
      </c>
      <c r="D30" s="74" t="n"/>
      <c r="E30" s="74" t="n"/>
      <c r="F30" s="74" t="n"/>
      <c r="G30" s="74" t="n"/>
      <c r="H30" s="74" t="n"/>
      <c r="I30" s="74" t="n"/>
      <c r="J30" s="21" t="n"/>
      <c r="K30" s="17" t="n"/>
      <c r="L30" s="17" t="n"/>
      <c r="M30" s="17" t="n"/>
      <c r="N30" s="17" t="n"/>
      <c r="O30" s="80" t="n"/>
      <c r="P30" s="81" t="n"/>
      <c r="Q30" s="81" t="n"/>
      <c r="R30" s="81" t="n"/>
      <c r="S30" s="81" t="n"/>
      <c r="T30" s="81" t="n"/>
      <c r="U30" s="81" t="n"/>
      <c r="V30" s="81" t="n"/>
      <c r="W30" s="81" t="n"/>
      <c r="X30" s="81" t="n"/>
      <c r="Y30" s="81" t="n"/>
      <c r="Z30" s="81" t="n"/>
      <c r="AA30" s="81" t="n"/>
      <c r="AB30" s="81" t="n"/>
      <c r="AC30" s="81" t="n"/>
      <c r="AD30" s="81" t="n"/>
    </row>
    <row r="31" ht="13.5" customHeight="1" s="90" thickBot="1">
      <c r="C31" s="84" t="inlineStr">
        <is>
          <t xml:space="preserve">Capacidade de expressão oral e de expressão corporal </t>
        </is>
      </c>
      <c r="D31" s="63" t="n"/>
      <c r="E31" s="63" t="n"/>
      <c r="F31" s="63" t="n"/>
      <c r="G31" s="63" t="n"/>
      <c r="H31" s="63" t="n"/>
      <c r="I31" s="63" t="n"/>
      <c r="J31" s="18" t="n"/>
      <c r="K31" s="18" t="n"/>
      <c r="L31" s="18" t="n">
        <v>20</v>
      </c>
      <c r="M31" s="18" t="n"/>
      <c r="N31" s="18" t="n"/>
      <c r="O31" s="18" t="n"/>
      <c r="P31" s="18" t="n"/>
      <c r="Q31" s="23" t="n"/>
      <c r="R31" s="18" t="n"/>
      <c r="S31" s="18" t="n"/>
      <c r="T31" s="18" t="n"/>
      <c r="U31" s="18" t="n"/>
      <c r="V31" s="18" t="n"/>
      <c r="W31" s="23" t="n"/>
      <c r="X31" s="18" t="n"/>
      <c r="Y31" s="18" t="n"/>
      <c r="Z31" s="18" t="n"/>
      <c r="AA31" s="18" t="n"/>
      <c r="AB31" s="18" t="n"/>
      <c r="AC31" s="18" t="n"/>
      <c r="AD31" s="18" t="n"/>
    </row>
    <row r="32" ht="13.5" customHeight="1" s="90" thickBot="1">
      <c r="C32" s="70" t="inlineStr">
        <is>
          <t>Capacidade de síntese</t>
        </is>
      </c>
      <c r="D32" s="65" t="n"/>
      <c r="E32" s="65" t="n"/>
      <c r="F32" s="65" t="n"/>
      <c r="G32" s="65" t="n"/>
      <c r="H32" s="65" t="n"/>
      <c r="I32" s="65" t="n"/>
      <c r="J32" s="18" t="n"/>
      <c r="K32" s="18" t="n">
        <v>12</v>
      </c>
      <c r="L32" s="18" t="n"/>
      <c r="M32" s="18" t="n"/>
      <c r="N32" s="18" t="n"/>
      <c r="O32" s="18" t="n"/>
      <c r="P32" s="18" t="n"/>
      <c r="Q32" s="24" t="n"/>
      <c r="R32" s="18" t="n"/>
      <c r="S32" s="18" t="n"/>
      <c r="T32" s="18" t="n"/>
      <c r="U32" s="18" t="n"/>
      <c r="V32" s="18" t="n"/>
      <c r="W32" s="24" t="n"/>
      <c r="X32" s="18" t="n"/>
      <c r="Y32" s="18" t="n"/>
      <c r="Z32" s="18" t="n"/>
      <c r="AA32" s="18" t="n"/>
      <c r="AB32" s="18" t="n"/>
      <c r="AC32" s="18" t="n"/>
      <c r="AD32" s="18" t="n"/>
    </row>
    <row r="33" ht="13.5" customHeight="1" s="90" thickBot="1">
      <c r="C33" s="70" t="inlineStr">
        <is>
          <t>Qualidade dos recursos/estratégias utilizadas na apresentação</t>
        </is>
      </c>
      <c r="D33" s="65" t="n"/>
      <c r="E33" s="65" t="n"/>
      <c r="F33" s="65" t="n"/>
      <c r="G33" s="65" t="n"/>
      <c r="H33" s="65" t="n"/>
      <c r="I33" s="65" t="n"/>
      <c r="J33" s="18" t="n">
        <v>11</v>
      </c>
      <c r="K33" s="18" t="n"/>
      <c r="L33" s="18" t="n">
        <v>13</v>
      </c>
      <c r="M33" s="18" t="n">
        <v>12</v>
      </c>
      <c r="N33" s="18" t="n"/>
      <c r="O33" s="18" t="n"/>
      <c r="P33" s="18" t="n"/>
      <c r="Q33" s="24" t="n"/>
      <c r="R33" s="18" t="n"/>
      <c r="S33" s="18" t="n"/>
      <c r="T33" s="18" t="n"/>
      <c r="U33" s="18" t="n"/>
      <c r="V33" s="18" t="n"/>
      <c r="W33" s="24" t="n"/>
      <c r="X33" s="18" t="n"/>
      <c r="Y33" s="18" t="n"/>
      <c r="Z33" s="18" t="n"/>
      <c r="AA33" s="18" t="n"/>
      <c r="AB33" s="18" t="n"/>
      <c r="AC33" s="18" t="n"/>
      <c r="AD33" s="18" t="n"/>
    </row>
    <row r="34" ht="13.5" customHeight="1" s="90" thickBot="1">
      <c r="C34" s="71" t="inlineStr">
        <is>
          <t>Qualidade de argumentação na defesa do projeto</t>
        </is>
      </c>
      <c r="D34" s="72" t="n"/>
      <c r="E34" s="72" t="n"/>
      <c r="F34" s="72" t="n"/>
      <c r="G34" s="72" t="n"/>
      <c r="H34" s="72" t="n"/>
      <c r="I34" s="72" t="n"/>
      <c r="J34" s="18" t="n">
        <v>12</v>
      </c>
      <c r="K34" s="18" t="n"/>
      <c r="L34" s="18" t="n"/>
      <c r="M34" s="18" t="n"/>
      <c r="N34" s="18" t="n">
        <v>12</v>
      </c>
      <c r="O34" s="18" t="n"/>
      <c r="P34" s="18" t="n"/>
      <c r="Q34" s="24" t="n"/>
      <c r="R34" s="18" t="n">
        <v>15</v>
      </c>
      <c r="S34" s="18" t="n"/>
      <c r="T34" s="18" t="n"/>
      <c r="U34" s="18" t="n"/>
      <c r="V34" s="18" t="n"/>
      <c r="W34" s="24" t="n"/>
      <c r="X34" s="18" t="n"/>
      <c r="Y34" s="18" t="n"/>
      <c r="Z34" s="18" t="n"/>
      <c r="AA34" s="18" t="n"/>
      <c r="AB34" s="18" t="n"/>
      <c r="AC34" s="18" t="n"/>
      <c r="AD34" s="18" t="n"/>
    </row>
    <row r="35" ht="13.5" customHeight="1" s="90" thickBot="1">
      <c r="C35" s="14" t="n"/>
      <c r="D35" s="14" t="n"/>
      <c r="E35" s="14" t="n"/>
      <c r="F35" s="14" t="n"/>
      <c r="G35" s="14" t="n"/>
      <c r="H35" s="14" t="n"/>
      <c r="I35" s="14" t="n"/>
      <c r="J35" s="25">
        <f>IF(COUNT(J31:J34)&gt;0,ROUND(AVERAGE(J31:J34),1),0)</f>
        <v/>
      </c>
      <c r="K35" s="25">
        <f>IF(COUNT(K31:K34)&gt;0,ROUND(AVERAGE(K31:K34),1),0)</f>
        <v/>
      </c>
      <c r="L35" s="25">
        <f>IF(COUNT(L31:L34)&gt;0,ROUND(AVERAGE(L31:L34),1),0)</f>
        <v/>
      </c>
      <c r="M35" s="25">
        <f>IF(COUNT(M31:M34)&gt;0,ROUND(AVERAGE(M31:M34),1),0)</f>
        <v/>
      </c>
      <c r="N35" s="25">
        <f>IF(COUNT(N31:N34)&gt;0,ROUND(AVERAGE(N31:N34),1),0)</f>
        <v/>
      </c>
      <c r="O35" s="25">
        <f>IF(COUNT(O31:O34)&gt;0,ROUND(AVERAGE(O31:O34),1),0)</f>
        <v/>
      </c>
      <c r="P35" s="25">
        <f>IF(COUNT(P31:P34)&gt;0,ROUND(AVERAGE(P31:P34),1),0)</f>
        <v/>
      </c>
      <c r="Q35" s="25">
        <f>IF(COUNT(Q31:Q34)&gt;0,ROUND(AVERAGE(Q31:Q34),1),0)</f>
        <v/>
      </c>
      <c r="R35" s="25">
        <f>IF(COUNT(R31:R34)&gt;0,ROUND(AVERAGE(R31:R34),1),0)</f>
        <v/>
      </c>
      <c r="S35" s="25">
        <f>IF(COUNT(S31:S34)&gt;0,ROUND(AVERAGE(S31:S34),1),0)</f>
        <v/>
      </c>
      <c r="T35" s="25">
        <f>IF(COUNT(T31:T34)&gt;0,ROUND(AVERAGE(T31:T34),1),0)</f>
        <v/>
      </c>
      <c r="U35" s="25">
        <f>IF(COUNT(U31:U34)&gt;0,ROUND(AVERAGE(U31:U34),1),0)</f>
        <v/>
      </c>
      <c r="V35" s="25">
        <f>IF(COUNT(V31:V34)&gt;0,ROUND(AVERAGE(V31:V34),1),0)</f>
        <v/>
      </c>
      <c r="W35" s="25">
        <f>IF(COUNT(W31:W34)&gt;0,ROUND(AVERAGE(W31:W34),1),0)</f>
        <v/>
      </c>
      <c r="X35" s="25">
        <f>IF(COUNT(X31:X34)&gt;0,ROUND(AVERAGE(X31:X34),1),0)</f>
        <v/>
      </c>
      <c r="Y35" s="25">
        <f>IF(COUNT(Y31:Y34)&gt;0,ROUND(AVERAGE(Y31:Y34),1),0)</f>
        <v/>
      </c>
      <c r="Z35" s="25">
        <f>IF(COUNT(Z31:Z34)&gt;0,ROUND(AVERAGE(Z31:Z34),1),0)</f>
        <v/>
      </c>
      <c r="AA35" s="25">
        <f>IF(COUNT(AA31:AA34)&gt;0,ROUND(AVERAGE(AA31:AA34),1),0)</f>
        <v/>
      </c>
      <c r="AB35" s="25">
        <f>IF(COUNT(AB31:AB34)&gt;0,ROUND(AVERAGE(AB31:AB34),1),0)</f>
        <v/>
      </c>
      <c r="AC35" s="25">
        <f>IF(COUNT(AC31:AC34)&gt;0,ROUND(AVERAGE(AC31:AC34),1),0)</f>
        <v/>
      </c>
      <c r="AD35" s="25">
        <f>IF(COUNT(AD31:AD34)&gt;0,ROUND(AVERAGE(AD31:AD34),1),0)</f>
        <v/>
      </c>
    </row>
    <row r="36" ht="13.5" customHeight="1" s="90" thickBot="1"/>
    <row r="37" ht="13.5" customHeight="1" s="90" thickBot="1">
      <c r="J37" s="15">
        <f>ROUND(J22*50% +J29*20%+J35*30%,1)</f>
        <v/>
      </c>
      <c r="K37" s="15">
        <f>ROUND(K22*50% +K29*20%+K35*30%,1)</f>
        <v/>
      </c>
      <c r="L37" s="15">
        <f>ROUND(L22*50% +L29*20%+L35*30%,1)</f>
        <v/>
      </c>
      <c r="M37" s="15">
        <f>ROUND(M22*50% +M29*20%+M35*30%,1)</f>
        <v/>
      </c>
      <c r="N37" s="15">
        <f>ROUND(N22*50% +N29*20%+N35*30%,1)</f>
        <v/>
      </c>
      <c r="O37" s="15">
        <f>ROUND(O22*50% +O29*20%+O35*30%,1)</f>
        <v/>
      </c>
      <c r="P37" s="15">
        <f>ROUND(P22*50% +P29*20%+P35*30%,1)</f>
        <v/>
      </c>
      <c r="Q37" s="15">
        <f>ROUND(Q22*50% +Q29*20%+Q35*30%,1)</f>
        <v/>
      </c>
      <c r="R37" s="15">
        <f>ROUND(R22*50% +R29*20%+R35*30%,1)</f>
        <v/>
      </c>
      <c r="S37" s="15">
        <f>ROUND(S22*50% +S29*20%+S35*30%,1)</f>
        <v/>
      </c>
      <c r="T37" s="15">
        <f>ROUND(T22*50% +T29*20%+T35*30%,1)</f>
        <v/>
      </c>
      <c r="U37" s="15">
        <f>ROUND(U22*50% +U29*20%+U35*30%,1)</f>
        <v/>
      </c>
      <c r="V37" s="15">
        <f>ROUND(V22*50% +V29*20%+V35*30%,1)</f>
        <v/>
      </c>
      <c r="W37" s="15">
        <f>ROUND(W22*50% +W29*20%+W35*30%,1)</f>
        <v/>
      </c>
      <c r="X37" s="15">
        <f>ROUND(X22*50% +X29*20%+X35*30%,1)</f>
        <v/>
      </c>
      <c r="Y37" s="15">
        <f>ROUND(Y22*50% +Y29*20%+Y35*30%,1)</f>
        <v/>
      </c>
      <c r="Z37" s="27">
        <f>ROUND(Z22*50% +Z29*20%+Z35*30%,1)</f>
        <v/>
      </c>
      <c r="AA37" s="27">
        <f>ROUND(AA22*50% +AA29*20%+AA35*30%,1)</f>
        <v/>
      </c>
      <c r="AB37" s="27">
        <f>ROUND(AB22*50% +AB29*20%+AB35*30%,1)</f>
        <v/>
      </c>
      <c r="AC37" s="27">
        <f>ROUND(AC22*50% +AC29*20%+AC35*30%,1)</f>
        <v/>
      </c>
      <c r="AD37" s="27">
        <f>ROUND(AD22*50% +AD29*20%+AD35*30%,1)</f>
        <v/>
      </c>
    </row>
    <row r="38" ht="13.5" customHeight="1" s="90" thickBot="1">
      <c r="I38" s="16" t="inlineStr">
        <is>
          <t>Nota Final</t>
        </is>
      </c>
      <c r="J38" s="26">
        <f>ROUND(J37,0)</f>
        <v/>
      </c>
      <c r="K38" s="26">
        <f>ROUND(K37,0)</f>
        <v/>
      </c>
      <c r="L38" s="26">
        <f>ROUND(L37,0)</f>
        <v/>
      </c>
      <c r="M38" s="26">
        <f>ROUND(M37,0)</f>
        <v/>
      </c>
      <c r="N38" s="26">
        <f>ROUND(N37,0)</f>
        <v/>
      </c>
      <c r="O38" s="26">
        <f>ROUND(O37,0)</f>
        <v/>
      </c>
      <c r="P38" s="26">
        <f>ROUND(P37,0)</f>
        <v/>
      </c>
      <c r="Q38" s="26">
        <f>ROUND(Q37,0)</f>
        <v/>
      </c>
      <c r="R38" s="26">
        <f>ROUND(R37,0)</f>
        <v/>
      </c>
      <c r="S38" s="26">
        <f>ROUND(S37,0)</f>
        <v/>
      </c>
      <c r="T38" s="26">
        <f>ROUND(T37,0)</f>
        <v/>
      </c>
      <c r="U38" s="26">
        <f>ROUND(U37,0)</f>
        <v/>
      </c>
      <c r="V38" s="26">
        <f>ROUND(V37,0)</f>
        <v/>
      </c>
      <c r="W38" s="26">
        <f>ROUND(W37,0)</f>
        <v/>
      </c>
      <c r="X38" s="26">
        <f>ROUND(X37,0)</f>
        <v/>
      </c>
      <c r="Y38" s="26">
        <f>ROUND(Y37,0)</f>
        <v/>
      </c>
      <c r="Z38" s="26">
        <f>ROUND(Z37,0)</f>
        <v/>
      </c>
      <c r="AA38" s="26">
        <f>ROUND(AA37,0)</f>
        <v/>
      </c>
      <c r="AB38" s="26">
        <f>ROUND(AB37,0)</f>
        <v/>
      </c>
      <c r="AC38" s="26">
        <f>ROUND(AC37,0)</f>
        <v/>
      </c>
      <c r="AD38" s="26">
        <f>ROUND(AD37,0)</f>
        <v/>
      </c>
    </row>
    <row r="39" ht="13.5" customHeight="1" s="90" thickBot="1">
      <c r="I39" s="28" t="inlineStr">
        <is>
          <t>Autoavaliação</t>
        </is>
      </c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27" t="n"/>
      <c r="AA39" s="27" t="n"/>
      <c r="AB39" s="27" t="n"/>
      <c r="AC39" s="27" t="n"/>
      <c r="AD39" s="27" t="n"/>
    </row>
  </sheetData>
  <mergeCells count="45">
    <mergeCell ref="C23:I23"/>
    <mergeCell ref="C17:I17"/>
    <mergeCell ref="N3:N13"/>
    <mergeCell ref="L3:L13"/>
    <mergeCell ref="X3:X13"/>
    <mergeCell ref="Z3:Z13"/>
    <mergeCell ref="C32:I32"/>
    <mergeCell ref="C19:I19"/>
    <mergeCell ref="C28:I28"/>
    <mergeCell ref="C18:I18"/>
    <mergeCell ref="U3:U13"/>
    <mergeCell ref="C34:I34"/>
    <mergeCell ref="W3:W13"/>
    <mergeCell ref="M3:M13"/>
    <mergeCell ref="C24:I24"/>
    <mergeCell ref="C30:I30"/>
    <mergeCell ref="C15:I15"/>
    <mergeCell ref="C33:I33"/>
    <mergeCell ref="C14:I14"/>
    <mergeCell ref="AA3:AA13"/>
    <mergeCell ref="P3:P13"/>
    <mergeCell ref="C26:I26"/>
    <mergeCell ref="R3:R13"/>
    <mergeCell ref="T3:T13"/>
    <mergeCell ref="J3:J13"/>
    <mergeCell ref="V3:V13"/>
    <mergeCell ref="AB3:AB13"/>
    <mergeCell ref="K3:K13"/>
    <mergeCell ref="C20:I20"/>
    <mergeCell ref="AD3:AD13"/>
    <mergeCell ref="O30:AD30"/>
    <mergeCell ref="C16:I16"/>
    <mergeCell ref="C29:I29"/>
    <mergeCell ref="J23:AD23"/>
    <mergeCell ref="C25:I25"/>
    <mergeCell ref="C31:I31"/>
    <mergeCell ref="C22:I22"/>
    <mergeCell ref="O3:O13"/>
    <mergeCell ref="Q3:Q13"/>
    <mergeCell ref="S3:S13"/>
    <mergeCell ref="Y3:Y13"/>
    <mergeCell ref="J14:AD14"/>
    <mergeCell ref="C21:I21"/>
    <mergeCell ref="AC3:AC13"/>
    <mergeCell ref="C27:I2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R56"/>
  <sheetViews>
    <sheetView zoomScale="150" zoomScaleNormal="150" workbookViewId="0">
      <selection activeCell="K58" sqref="K58"/>
    </sheetView>
  </sheetViews>
  <sheetFormatPr baseColWidth="8" defaultColWidth="9.140625" defaultRowHeight="12.75" customHeight="1"/>
  <cols>
    <col width="8.5703125" customWidth="1" style="42" min="1" max="5"/>
    <col width="2" customWidth="1" style="42" min="6" max="6"/>
    <col width="8.5703125" customWidth="1" style="42" min="7" max="11"/>
    <col width="9.140625" customWidth="1" style="42" min="12" max="16"/>
    <col width="9.140625" customWidth="1" style="42" min="17" max="16384"/>
  </cols>
  <sheetData>
    <row r="2" ht="16.9" customHeight="1" s="90">
      <c r="B2" s="9" t="n"/>
      <c r="C2" s="9" t="n"/>
      <c r="D2" s="9" t="inlineStr">
        <is>
          <t>Agrupamento de Escolas Raul Proença</t>
        </is>
      </c>
      <c r="E2" s="9" t="n"/>
      <c r="F2" s="9" t="n"/>
      <c r="G2" s="9" t="n"/>
      <c r="H2" s="9" t="n"/>
      <c r="I2" s="9" t="n"/>
      <c r="J2" s="9" t="n"/>
      <c r="K2" s="9" t="n"/>
    </row>
    <row r="4" ht="15" customHeight="1" s="90">
      <c r="A4" s="57" t="inlineStr">
        <is>
          <t>Ano letivo 2025/2026</t>
        </is>
      </c>
    </row>
    <row r="5" ht="7.5" customHeight="1" s="90">
      <c r="A5" s="2" t="n"/>
    </row>
    <row r="6" ht="15" customHeight="1" s="90">
      <c r="A6" s="43" t="inlineStr">
        <is>
          <t>Ata de Avaliação da Prova de Aptidão Profissional</t>
        </is>
      </c>
    </row>
    <row r="7" ht="12.75" customHeight="1" s="90">
      <c r="A7" s="3" t="n"/>
    </row>
    <row r="8" ht="12.75" customHeight="1" s="90">
      <c r="A8" s="41" t="inlineStr">
        <is>
          <t>Aluno:</t>
        </is>
      </c>
      <c r="D8" s="96" t="inlineStr">
        <is>
          <t>Adriano Ricardo David Salucombo</t>
        </is>
      </c>
      <c r="E8" s="38" t="n"/>
      <c r="F8" s="38" t="n"/>
      <c r="G8" s="38" t="n"/>
      <c r="H8" s="38" t="n"/>
      <c r="I8" s="38" t="n"/>
      <c r="J8" s="38" t="n"/>
      <c r="K8" s="37" t="n"/>
    </row>
    <row r="9" ht="12.75" customHeight="1" s="90">
      <c r="A9" s="41" t="n"/>
      <c r="B9" s="41" t="n"/>
      <c r="C9" s="41" t="inlineStr">
        <is>
          <t>Tema:</t>
        </is>
      </c>
      <c r="D9" s="96" t="inlineStr">
        <is>
          <t>EduKids - Plataforma Interativa de Aprendizagem para Educação Infantil</t>
        </is>
      </c>
      <c r="E9" s="38" t="n"/>
      <c r="F9" s="38" t="n"/>
      <c r="G9" s="38" t="n"/>
      <c r="H9" s="38" t="n"/>
      <c r="I9" s="38" t="n"/>
      <c r="J9" s="38" t="n"/>
      <c r="K9" s="37" t="n"/>
    </row>
    <row r="10" ht="18" customHeight="1" s="90">
      <c r="A10" s="41" t="inlineStr">
        <is>
          <t>Área de Formação:</t>
        </is>
      </c>
      <c r="D10" s="96" t="inlineStr">
        <is>
          <t>Ciências Informáticas (481)</t>
        </is>
      </c>
      <c r="E10" s="96" t="n"/>
      <c r="F10" s="96" t="n"/>
      <c r="G10" s="96" t="n"/>
      <c r="H10" s="96" t="n"/>
      <c r="I10" s="96" t="n"/>
      <c r="J10" s="96" t="n"/>
      <c r="K10" s="37" t="n"/>
    </row>
    <row r="11" ht="18.75" customHeight="1" s="90">
      <c r="A11" s="41" t="inlineStr">
        <is>
          <t>Curso Profissional:</t>
        </is>
      </c>
      <c r="D11" s="96" t="inlineStr">
        <is>
          <t>Técnico de Gestão e Programação de Sistemas Informáticos</t>
        </is>
      </c>
      <c r="E11" s="96" t="n"/>
      <c r="F11" s="96" t="n"/>
      <c r="G11" s="96" t="n"/>
      <c r="H11" s="96" t="n"/>
      <c r="I11" s="96" t="n"/>
      <c r="J11" s="96" t="n"/>
      <c r="K11" s="37" t="n"/>
      <c r="L11" s="37" t="n"/>
      <c r="M11" s="38" t="n"/>
      <c r="N11" s="38" t="n"/>
      <c r="O11" s="38" t="n"/>
      <c r="P11" s="38" t="n"/>
      <c r="Q11" s="38" t="n"/>
      <c r="R11" s="38" t="n"/>
    </row>
    <row r="12" ht="18" customHeight="1" s="90">
      <c r="A12" s="41" t="inlineStr">
        <is>
          <t>Saída Profissional:</t>
        </is>
      </c>
      <c r="D12" s="96" t="inlineStr">
        <is>
          <t>Técnico de Gestão e Programação de Sistemas Informáticos</t>
        </is>
      </c>
      <c r="E12" s="96" t="n"/>
      <c r="F12" s="96" t="n"/>
      <c r="G12" s="96" t="n"/>
      <c r="H12" s="96" t="n"/>
      <c r="I12" s="96" t="n"/>
      <c r="J12" s="96" t="n"/>
      <c r="K12" s="37" t="n"/>
    </row>
    <row r="13" ht="7.5" customHeight="1" s="90">
      <c r="A13" s="3" t="n"/>
    </row>
    <row r="14" ht="15" customHeight="1" s="90">
      <c r="A14" s="40" t="inlineStr">
        <is>
          <t>A – Desenvolvimento do Projeto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1" t="n"/>
    </row>
    <row r="15" ht="15" customHeight="1" s="90">
      <c r="A15" s="36" t="inlineStr">
        <is>
          <t>Cotação máxima</t>
        </is>
      </c>
      <c r="B15" s="31" t="n"/>
      <c r="C15" s="36" t="inlineStr">
        <is>
          <t>Itens avaliados</t>
        </is>
      </c>
      <c r="D15" s="33" t="n"/>
      <c r="E15" s="33" t="n"/>
      <c r="F15" s="33" t="n"/>
      <c r="G15" s="33" t="n"/>
      <c r="H15" s="33" t="n"/>
      <c r="I15" s="31" t="n"/>
      <c r="J15" s="36" t="inlineStr">
        <is>
          <t>Cotação atribuída</t>
        </is>
      </c>
      <c r="K15" s="31" t="n"/>
    </row>
    <row r="16" ht="12.75" customHeight="1" s="90">
      <c r="A16" s="36" t="n">
        <v>100</v>
      </c>
      <c r="B16" s="45" t="n"/>
      <c r="C16" s="32" t="inlineStr">
        <is>
          <t>Definição dos objetivos do projeto</t>
        </is>
      </c>
      <c r="D16" s="33" t="n"/>
      <c r="E16" s="33" t="n"/>
      <c r="F16" s="33" t="n"/>
      <c r="G16" s="33" t="n"/>
      <c r="H16" s="33" t="n"/>
      <c r="I16" s="31" t="n"/>
      <c r="J16" s="51">
        <f>'Avaliação'!J22*5</f>
        <v/>
      </c>
      <c r="K16" s="52" t="n"/>
    </row>
    <row r="17" ht="12.75" customHeight="1" s="90">
      <c r="A17" s="46" t="n"/>
      <c r="B17" s="47" t="n"/>
      <c r="C17" s="32" t="inlineStr">
        <is>
          <t>Qualidade científica e técnica</t>
        </is>
      </c>
      <c r="D17" s="33" t="n"/>
      <c r="E17" s="33" t="n"/>
      <c r="F17" s="33" t="n"/>
      <c r="G17" s="33" t="n"/>
      <c r="H17" s="33" t="n"/>
      <c r="I17" s="31" t="n"/>
      <c r="J17" s="53" t="n"/>
      <c r="K17" s="54" t="n"/>
    </row>
    <row r="18" ht="12.75" customHeight="1" s="90">
      <c r="A18" s="46" t="n"/>
      <c r="B18" s="47" t="n"/>
      <c r="C18" s="32" t="inlineStr">
        <is>
          <t>Pertinência, criatividade e inovação</t>
        </is>
      </c>
      <c r="D18" s="33" t="n"/>
      <c r="E18" s="33" t="n"/>
      <c r="F18" s="33" t="n"/>
      <c r="G18" s="33" t="n"/>
      <c r="H18" s="33" t="n"/>
      <c r="I18" s="31" t="n"/>
      <c r="J18" s="53" t="n"/>
      <c r="K18" s="54" t="n"/>
      <c r="M18" s="10" t="n"/>
    </row>
    <row r="19" ht="12.75" customHeight="1" s="90">
      <c r="A19" s="46" t="n"/>
      <c r="B19" s="47" t="n"/>
      <c r="C19" s="32" t="inlineStr">
        <is>
          <t>Planeamento dos recursos necessários</t>
        </is>
      </c>
      <c r="D19" s="33" t="n"/>
      <c r="E19" s="33" t="n"/>
      <c r="F19" s="33" t="n"/>
      <c r="G19" s="33" t="n"/>
      <c r="H19" s="33" t="n"/>
      <c r="I19" s="31" t="n"/>
      <c r="J19" s="53" t="n"/>
      <c r="K19" s="54" t="n"/>
    </row>
    <row r="20" ht="12.75" customHeight="1" s="90">
      <c r="A20" s="46" t="n"/>
      <c r="B20" s="47" t="n"/>
      <c r="C20" s="32" t="inlineStr">
        <is>
          <t>Definição das fases de execução do projeto</t>
        </is>
      </c>
      <c r="D20" s="33" t="n"/>
      <c r="E20" s="33" t="n"/>
      <c r="F20" s="33" t="n"/>
      <c r="G20" s="33" t="n"/>
      <c r="H20" s="33" t="n"/>
      <c r="I20" s="31" t="n"/>
      <c r="J20" s="53" t="n"/>
      <c r="K20" s="54" t="n"/>
    </row>
    <row r="21" ht="12.75" customHeight="1" s="90">
      <c r="A21" s="46" t="n"/>
      <c r="B21" s="47" t="n"/>
      <c r="C21" s="32" t="inlineStr">
        <is>
          <t>Autonomia</t>
        </is>
      </c>
      <c r="D21" s="33" t="n"/>
      <c r="E21" s="33" t="n"/>
      <c r="F21" s="33" t="n"/>
      <c r="G21" s="33" t="n"/>
      <c r="H21" s="33" t="n"/>
      <c r="I21" s="31" t="n"/>
      <c r="J21" s="53" t="n"/>
      <c r="K21" s="54" t="n"/>
    </row>
    <row r="22" ht="12.75" customHeight="1" s="90">
      <c r="A22" s="48" t="n"/>
      <c r="B22" s="49" t="n"/>
      <c r="C22" s="32" t="inlineStr">
        <is>
          <t>Sentido de responsabilidade e gestão do tempo</t>
        </is>
      </c>
      <c r="D22" s="33" t="n"/>
      <c r="E22" s="33" t="n"/>
      <c r="F22" s="33" t="n"/>
      <c r="G22" s="33" t="n"/>
      <c r="H22" s="33" t="n"/>
      <c r="I22" s="31" t="n"/>
      <c r="J22" s="55" t="n"/>
      <c r="K22" s="56" t="n"/>
    </row>
    <row r="23" ht="7.5" customHeight="1" s="90">
      <c r="A23" s="4" t="n"/>
    </row>
    <row r="24" ht="15" customHeight="1" s="90">
      <c r="A24" s="40" t="inlineStr">
        <is>
          <t>B – Relatório final</t>
        </is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1" t="n"/>
    </row>
    <row r="25" ht="15" customHeight="1" s="90">
      <c r="A25" s="36" t="inlineStr">
        <is>
          <t>Cotação máxima</t>
        </is>
      </c>
      <c r="B25" s="31" t="n"/>
      <c r="C25" s="36" t="inlineStr">
        <is>
          <t>Itens avaliados</t>
        </is>
      </c>
      <c r="D25" s="33" t="n"/>
      <c r="E25" s="33" t="n"/>
      <c r="F25" s="33" t="n"/>
      <c r="G25" s="33" t="n"/>
      <c r="H25" s="33" t="n"/>
      <c r="I25" s="31" t="n"/>
      <c r="J25" s="36" t="inlineStr">
        <is>
          <t>Cotação atribuída</t>
        </is>
      </c>
      <c r="K25" s="31" t="n"/>
    </row>
    <row r="26" ht="12.75" customHeight="1" s="90">
      <c r="A26" s="36" t="n">
        <v>40</v>
      </c>
      <c r="B26" s="45" t="n"/>
      <c r="C26" s="32" t="inlineStr">
        <is>
          <t>Objetividade</t>
        </is>
      </c>
      <c r="D26" s="33" t="n"/>
      <c r="E26" s="33" t="n"/>
      <c r="F26" s="33" t="n"/>
      <c r="G26" s="33" t="n"/>
      <c r="H26" s="33" t="n"/>
      <c r="I26" s="31" t="n"/>
      <c r="J26" s="51">
        <f>'Avaliação'!J29*2</f>
        <v/>
      </c>
      <c r="K26" s="52" t="n"/>
    </row>
    <row r="27" ht="12.75" customHeight="1" s="90">
      <c r="A27" s="46" t="n"/>
      <c r="B27" s="47" t="n"/>
      <c r="C27" s="32" t="inlineStr">
        <is>
          <t>Pertinência das informações</t>
        </is>
      </c>
      <c r="D27" s="33" t="n"/>
      <c r="E27" s="33" t="n"/>
      <c r="F27" s="33" t="n"/>
      <c r="G27" s="33" t="n"/>
      <c r="H27" s="33" t="n"/>
      <c r="I27" s="31" t="n"/>
      <c r="J27" s="53" t="n"/>
      <c r="K27" s="54" t="n"/>
      <c r="M27" s="10" t="n"/>
    </row>
    <row r="28" ht="12.75" customHeight="1" s="90">
      <c r="A28" s="46" t="n"/>
      <c r="B28" s="47" t="n"/>
      <c r="C28" s="32" t="inlineStr">
        <is>
          <t>Identificação das dificuldades e meios de as superar</t>
        </is>
      </c>
      <c r="D28" s="33" t="n"/>
      <c r="E28" s="33" t="n"/>
      <c r="F28" s="33" t="n"/>
      <c r="G28" s="33" t="n"/>
      <c r="H28" s="33" t="n"/>
      <c r="I28" s="31" t="n"/>
      <c r="J28" s="53" t="n"/>
      <c r="K28" s="54" t="n"/>
    </row>
    <row r="29" ht="12.75" customHeight="1" s="90">
      <c r="A29" s="46" t="n"/>
      <c r="B29" s="47" t="n"/>
      <c r="C29" s="32" t="inlineStr">
        <is>
          <t>Capacidade de análise crítica</t>
        </is>
      </c>
      <c r="D29" s="33" t="n"/>
      <c r="E29" s="33" t="n"/>
      <c r="F29" s="33" t="n"/>
      <c r="G29" s="33" t="n"/>
      <c r="H29" s="33" t="n"/>
      <c r="I29" s="31" t="n"/>
      <c r="J29" s="53" t="n"/>
      <c r="K29" s="54" t="n"/>
    </row>
    <row r="30" ht="12.75" customHeight="1" s="90">
      <c r="A30" s="48" t="n"/>
      <c r="B30" s="49" t="n"/>
      <c r="C30" s="32" t="inlineStr">
        <is>
          <t>Sentido de responsabilidade e gestão do tempo</t>
        </is>
      </c>
      <c r="D30" s="33" t="n"/>
      <c r="E30" s="33" t="n"/>
      <c r="F30" s="33" t="n"/>
      <c r="G30" s="33" t="n"/>
      <c r="H30" s="33" t="n"/>
      <c r="I30" s="31" t="n"/>
      <c r="J30" s="55" t="n"/>
      <c r="K30" s="56" t="n"/>
    </row>
    <row r="31" ht="7.5" customHeight="1" s="90">
      <c r="A31" s="4" t="n"/>
    </row>
    <row r="32" ht="15" customHeight="1" s="90">
      <c r="A32" s="40" t="inlineStr">
        <is>
          <t>C – Apresentação e Defesa do Projecto</t>
        </is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1" t="n"/>
    </row>
    <row r="33" ht="15" customHeight="1" s="90">
      <c r="A33" s="36" t="inlineStr">
        <is>
          <t>Cotação máxima</t>
        </is>
      </c>
      <c r="B33" s="31" t="n"/>
      <c r="C33" s="36" t="inlineStr">
        <is>
          <t>Itens avaliados</t>
        </is>
      </c>
      <c r="D33" s="33" t="n"/>
      <c r="E33" s="33" t="n"/>
      <c r="F33" s="33" t="n"/>
      <c r="G33" s="33" t="n"/>
      <c r="H33" s="33" t="n"/>
      <c r="I33" s="31" t="n"/>
      <c r="J33" s="36" t="inlineStr">
        <is>
          <t>Cotação atribuída</t>
        </is>
      </c>
      <c r="K33" s="31" t="n"/>
    </row>
    <row r="34" ht="12.75" customHeight="1" s="90">
      <c r="A34" s="36" t="n">
        <v>60</v>
      </c>
      <c r="B34" s="45" t="n"/>
      <c r="C34" s="32" t="inlineStr">
        <is>
          <t xml:space="preserve">Capacidade de expressão oral e de expressão corporal </t>
        </is>
      </c>
      <c r="D34" s="33" t="n"/>
      <c r="E34" s="33" t="n"/>
      <c r="F34" s="33" t="n"/>
      <c r="G34" s="33" t="n"/>
      <c r="H34" s="33" t="n"/>
      <c r="I34" s="31" t="n"/>
      <c r="J34" s="51">
        <f>'Avaliação'!J35*3</f>
        <v/>
      </c>
      <c r="K34" s="52" t="n"/>
    </row>
    <row r="35" ht="12.75" customHeight="1" s="90">
      <c r="A35" s="46" t="n"/>
      <c r="B35" s="47" t="n"/>
      <c r="C35" s="32" t="inlineStr">
        <is>
          <t>Capacidade de síntese</t>
        </is>
      </c>
      <c r="D35" s="33" t="n"/>
      <c r="E35" s="33" t="n"/>
      <c r="F35" s="33" t="n"/>
      <c r="G35" s="33" t="n"/>
      <c r="H35" s="33" t="n"/>
      <c r="I35" s="31" t="n"/>
      <c r="J35" s="53" t="n"/>
      <c r="K35" s="54" t="n"/>
    </row>
    <row r="36" ht="12.75" customHeight="1" s="90">
      <c r="A36" s="46" t="n"/>
      <c r="B36" s="47" t="n"/>
      <c r="C36" s="32" t="inlineStr">
        <is>
          <t>Qualidade dos recursos/estratégias utilizadas na apresentação</t>
        </is>
      </c>
      <c r="D36" s="33" t="n"/>
      <c r="E36" s="33" t="n"/>
      <c r="F36" s="33" t="n"/>
      <c r="G36" s="33" t="n"/>
      <c r="H36" s="33" t="n"/>
      <c r="I36" s="31" t="n"/>
      <c r="J36" s="53" t="n"/>
      <c r="K36" s="54" t="n"/>
      <c r="M36" s="10" t="n"/>
    </row>
    <row r="37" ht="12.75" customHeight="1" s="90">
      <c r="A37" s="48" t="n"/>
      <c r="B37" s="49" t="n"/>
      <c r="C37" s="32" t="inlineStr">
        <is>
          <t>Qualidade de argumentação na defesa do projeto</t>
        </is>
      </c>
      <c r="D37" s="33" t="n"/>
      <c r="E37" s="33" t="n"/>
      <c r="F37" s="33" t="n"/>
      <c r="G37" s="33" t="n"/>
      <c r="H37" s="33" t="n"/>
      <c r="I37" s="31" t="n"/>
      <c r="J37" s="55" t="n"/>
      <c r="K37" s="56" t="n"/>
    </row>
    <row r="38" ht="7.5" customHeight="1" s="90">
      <c r="A38" s="6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 ht="19.5" customHeight="1" s="90">
      <c r="A39" s="39">
        <f>SUM(A16,A26,A34)</f>
        <v/>
      </c>
      <c r="B39" s="31" t="n"/>
      <c r="C39" s="39" t="inlineStr">
        <is>
          <t>Avaliação Final</t>
        </is>
      </c>
      <c r="D39" s="33" t="n"/>
      <c r="E39" s="33" t="n"/>
      <c r="F39" s="33" t="n"/>
      <c r="G39" s="33" t="n"/>
      <c r="H39" s="33" t="n"/>
      <c r="I39" s="31" t="n"/>
      <c r="J39" s="30">
        <f>ROUND(SUM(J16,J26,J34),0)</f>
        <v/>
      </c>
      <c r="K39" s="31" t="n"/>
    </row>
    <row r="40" ht="7.5" customHeight="1" s="90">
      <c r="A40" s="4" t="n"/>
    </row>
    <row r="41" ht="12.75" customHeight="1" s="90">
      <c r="A41" s="40" t="inlineStr">
        <is>
          <t>Observações:</t>
        </is>
      </c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1" t="n"/>
    </row>
    <row r="42" ht="12.75" customHeight="1" s="90">
      <c r="A42" s="58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2" t="n"/>
    </row>
    <row r="43" ht="12.75" customHeight="1" s="90">
      <c r="A43" s="53" t="n"/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54" t="n"/>
    </row>
    <row r="44" ht="12.75" customHeight="1" s="90">
      <c r="A44" s="53" t="n"/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54" t="n"/>
    </row>
    <row r="45" ht="12.75" customHeight="1" s="90">
      <c r="A45" s="53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54" t="n"/>
    </row>
    <row r="46" ht="12.75" customHeight="1" s="90">
      <c r="A46" s="55" t="n"/>
      <c r="B46" s="60" t="n"/>
      <c r="C46" s="60" t="n"/>
      <c r="D46" s="60" t="n"/>
      <c r="E46" s="60" t="n"/>
      <c r="F46" s="60" t="n"/>
      <c r="G46" s="60" t="n"/>
      <c r="H46" s="60" t="n"/>
      <c r="I46" s="60" t="n"/>
      <c r="J46" s="60" t="n"/>
      <c r="K46" s="56" t="n"/>
    </row>
    <row r="47" ht="7.5" customHeight="1" s="90">
      <c r="A47" s="5" t="n"/>
    </row>
    <row r="48" ht="12.75" customHeight="1" s="90">
      <c r="B48" s="5" t="n"/>
      <c r="C48" s="44" t="inlineStr">
        <is>
          <t xml:space="preserve">Caldas da Rainha, </t>
        </is>
      </c>
      <c r="F48" s="5" t="n"/>
      <c r="G48" s="61">
        <f>NOW()</f>
        <v/>
      </c>
      <c r="J48" s="5" t="n"/>
      <c r="K48" s="5" t="n"/>
    </row>
    <row r="49" ht="7.5" customHeight="1" s="90">
      <c r="A49" s="5" t="n"/>
    </row>
    <row r="50" ht="12.75" customHeight="1" s="90">
      <c r="A50" s="5" t="n"/>
      <c r="E50" s="50" t="inlineStr">
        <is>
          <t>O Júri da Prova</t>
        </is>
      </c>
    </row>
    <row r="51" ht="7.5" customHeight="1" s="90">
      <c r="A51" s="5" t="n"/>
    </row>
    <row r="52" ht="12.75" customHeight="1" s="90">
      <c r="A52" s="35" t="inlineStr">
        <is>
          <t>Qualidade em que está nomeado</t>
        </is>
      </c>
      <c r="B52" s="33" t="n"/>
      <c r="C52" s="33" t="n"/>
      <c r="D52" s="33" t="n"/>
      <c r="E52" s="31" t="n"/>
      <c r="G52" s="35" t="inlineStr">
        <is>
          <t>Assinatura</t>
        </is>
      </c>
      <c r="H52" s="33" t="n"/>
      <c r="I52" s="33" t="n"/>
      <c r="J52" s="33" t="n"/>
      <c r="K52" s="31" t="n"/>
    </row>
    <row r="53" ht="22.5" customHeight="1" s="90">
      <c r="A53" s="32" t="inlineStr">
        <is>
          <t>Presidente do Júri</t>
        </is>
      </c>
      <c r="B53" s="33" t="n"/>
      <c r="C53" s="33" t="n"/>
      <c r="D53" s="33" t="n"/>
      <c r="E53" s="31" t="n"/>
      <c r="G53" s="34" t="n"/>
      <c r="H53" s="33" t="n"/>
      <c r="I53" s="33" t="n"/>
      <c r="J53" s="33" t="n"/>
      <c r="K53" s="31" t="n"/>
    </row>
    <row r="54" ht="22.5" customHeight="1" s="90">
      <c r="A54" s="32" t="inlineStr">
        <is>
          <t>Professor Orientador do Projeto</t>
        </is>
      </c>
      <c r="B54" s="33" t="n"/>
      <c r="C54" s="33" t="n"/>
      <c r="D54" s="33" t="n"/>
      <c r="E54" s="31" t="n"/>
      <c r="G54" s="34" t="n"/>
      <c r="H54" s="33" t="n"/>
      <c r="I54" s="33" t="n"/>
      <c r="J54" s="33" t="n"/>
      <c r="K54" s="31" t="n"/>
    </row>
    <row r="55" ht="22.5" customHeight="1" s="90">
      <c r="A55" s="32" t="inlineStr">
        <is>
          <t>Representante das Associações Empresariais</t>
        </is>
      </c>
      <c r="B55" s="33" t="n"/>
      <c r="C55" s="33" t="n"/>
      <c r="D55" s="33" t="n"/>
      <c r="E55" s="31" t="n"/>
      <c r="G55" s="34" t="n"/>
      <c r="H55" s="33" t="n"/>
      <c r="I55" s="33" t="n"/>
      <c r="J55" s="33" t="n"/>
      <c r="K55" s="31" t="n"/>
    </row>
    <row r="56" ht="22.5" customHeight="1" s="90">
      <c r="A56" s="32" t="inlineStr">
        <is>
          <t>Personalidade de reconhecido mérito</t>
        </is>
      </c>
      <c r="B56" s="33" t="n"/>
      <c r="C56" s="33" t="n"/>
      <c r="D56" s="33" t="n"/>
      <c r="E56" s="31" t="n"/>
      <c r="G56" s="34" t="n"/>
      <c r="H56" s="33" t="n"/>
      <c r="I56" s="33" t="n"/>
      <c r="J56" s="33" t="n"/>
      <c r="K56" s="31" t="n"/>
    </row>
  </sheetData>
  <mergeCells count="61">
    <mergeCell ref="J39:K39"/>
    <mergeCell ref="C36:I36"/>
    <mergeCell ref="G56:K56"/>
    <mergeCell ref="G52:K52"/>
    <mergeCell ref="A15:B15"/>
    <mergeCell ref="D9:J9"/>
    <mergeCell ref="C17:I17"/>
    <mergeCell ref="C39:I39"/>
    <mergeCell ref="D8:J8"/>
    <mergeCell ref="A24:K24"/>
    <mergeCell ref="A12:C12"/>
    <mergeCell ref="C19:I19"/>
    <mergeCell ref="C37:I37"/>
    <mergeCell ref="L11:R11"/>
    <mergeCell ref="A6:K6"/>
    <mergeCell ref="C28:I28"/>
    <mergeCell ref="C18:I18"/>
    <mergeCell ref="A25:B25"/>
    <mergeCell ref="A54:E54"/>
    <mergeCell ref="A8:C8"/>
    <mergeCell ref="J15:K15"/>
    <mergeCell ref="A41:K41"/>
    <mergeCell ref="C34:I34"/>
    <mergeCell ref="C48:E48"/>
    <mergeCell ref="C30:I30"/>
    <mergeCell ref="G53:K53"/>
    <mergeCell ref="C15:I15"/>
    <mergeCell ref="C33:I33"/>
    <mergeCell ref="A56:E56"/>
    <mergeCell ref="A10:C10"/>
    <mergeCell ref="A55:E55"/>
    <mergeCell ref="A34:B37"/>
    <mergeCell ref="C26:I26"/>
    <mergeCell ref="A33:B33"/>
    <mergeCell ref="C35:I35"/>
    <mergeCell ref="J25:K25"/>
    <mergeCell ref="C20:I20"/>
    <mergeCell ref="E50:G50"/>
    <mergeCell ref="C29:I29"/>
    <mergeCell ref="C16:I16"/>
    <mergeCell ref="A32:K32"/>
    <mergeCell ref="A14:K14"/>
    <mergeCell ref="C25:I25"/>
    <mergeCell ref="J26:K30"/>
    <mergeCell ref="G55:K55"/>
    <mergeCell ref="A16:B22"/>
    <mergeCell ref="A53:E53"/>
    <mergeCell ref="C22:I22"/>
    <mergeCell ref="A4:K4"/>
    <mergeCell ref="A11:C11"/>
    <mergeCell ref="A52:E52"/>
    <mergeCell ref="G54:K54"/>
    <mergeCell ref="J16:K22"/>
    <mergeCell ref="C21:I21"/>
    <mergeCell ref="J34:K37"/>
    <mergeCell ref="A26:B30"/>
    <mergeCell ref="A42:K46"/>
    <mergeCell ref="J33:K33"/>
    <mergeCell ref="G48:I48"/>
    <mergeCell ref="C27:I27"/>
    <mergeCell ref="A39:B39"/>
  </mergeCells>
  <conditionalFormatting sqref="J16:K22 J34:K37">
    <cfRule type="cellIs" priority="1" operator="greaterThan" dxfId="0" stopIfTrue="1">
      <formula>$A$16</formula>
    </cfRule>
  </conditionalFormatting>
  <conditionalFormatting sqref="J26:K30">
    <cfRule type="cellIs" priority="2" operator="greaterThan" dxfId="0" stopIfTrue="1">
      <formula>$A$26</formula>
    </cfRule>
  </conditionalFormatting>
  <conditionalFormatting sqref="J39:K39">
    <cfRule type="cellIs" priority="3" operator="greaterThan" dxfId="0" stopIfTrue="1">
      <formula>200</formula>
    </cfRule>
  </conditionalFormatting>
  <dataValidations count="3">
    <dataValidation sqref="D10" showDropDown="0" showInputMessage="0" showErrorMessage="0" allowBlank="1" errorTitle="Valor inválido" error="Seleccione um valor da lista." type="list">
      <formula1>='Auxiliar'!$B$6:$B$8</formula1>
    </dataValidation>
    <dataValidation sqref="D12" showDropDown="0" showInputMessage="0" showErrorMessage="0" allowBlank="1" errorTitle="Valor inválido" error="Seleccione um valor da lista." type="list">
      <formula1>='Auxiliar'!$D$6:$D$8</formula1>
    </dataValidation>
    <dataValidation sqref="D11" showDropDown="0" showInputMessage="0" showErrorMessage="0" allowBlank="1" errorTitle="Valor inválido" error="Seleccione um valor da lista." type="list">
      <formula1>='Auxiliar'!$B$16:$B$18</formula1>
    </dataValidation>
  </dataValidations>
  <printOptions horizontalCentered="1"/>
  <pageMargins left="0.984251968503937" right="0.5905511811023623" top="0.5905511811023623" bottom="0.5905511811023623" header="0" footer="0"/>
  <pageSetup orientation="portrait" paperSize="9" scale="94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M56"/>
  <sheetViews>
    <sheetView zoomScale="150" workbookViewId="0">
      <selection activeCell="F69" sqref="F69"/>
    </sheetView>
  </sheetViews>
  <sheetFormatPr baseColWidth="8" defaultColWidth="9.140625" defaultRowHeight="12.75" customHeight="1"/>
  <cols>
    <col width="8.5703125" customWidth="1" style="42" min="1" max="5"/>
    <col width="2" customWidth="1" style="42" min="6" max="6"/>
    <col width="8.5703125" customWidth="1" style="42" min="7" max="11"/>
    <col width="9.140625" customWidth="1" style="42" min="12" max="16"/>
    <col width="9.140625" customWidth="1" style="42" min="17" max="16384"/>
  </cols>
  <sheetData>
    <row r="2" ht="16.9" customHeight="1" s="90">
      <c r="B2" s="9" t="n"/>
      <c r="C2" s="9" t="n"/>
      <c r="D2" s="9" t="inlineStr">
        <is>
          <t>Agrupamento de Escolas Raul Proença</t>
        </is>
      </c>
      <c r="E2" s="9" t="n"/>
      <c r="F2" s="9" t="n"/>
      <c r="G2" s="9" t="n"/>
      <c r="H2" s="9" t="n"/>
      <c r="I2" s="9" t="n"/>
      <c r="J2" s="9" t="n"/>
      <c r="K2" s="9" t="n"/>
    </row>
    <row r="4" ht="15" customHeight="1" s="90">
      <c r="A4" s="57" t="inlineStr">
        <is>
          <t>Ano letivo 2025/2026</t>
        </is>
      </c>
    </row>
    <row r="5" ht="7.5" customHeight="1" s="90">
      <c r="A5" s="2" t="n"/>
    </row>
    <row r="6" ht="15" customHeight="1" s="90">
      <c r="A6" s="43" t="inlineStr">
        <is>
          <t>Ata de Avaliação da Prova de Aptidão Profissional</t>
        </is>
      </c>
    </row>
    <row r="7" ht="12.75" customHeight="1" s="90">
      <c r="A7" s="3" t="n"/>
    </row>
    <row r="8" ht="12.75" customHeight="1" s="90">
      <c r="A8" s="41" t="inlineStr">
        <is>
          <t>Aluno:</t>
        </is>
      </c>
      <c r="D8" s="96" t="inlineStr">
        <is>
          <t>Afonso Baptista dos Santos Costa</t>
        </is>
      </c>
      <c r="E8" s="38" t="n"/>
      <c r="F8" s="38" t="n"/>
      <c r="G8" s="38" t="n"/>
      <c r="H8" s="38" t="n"/>
      <c r="I8" s="38" t="n"/>
      <c r="J8" s="38" t="n"/>
      <c r="K8" s="7" t="n"/>
    </row>
    <row r="9" ht="12.75" customHeight="1" s="90">
      <c r="A9" s="41" t="n"/>
      <c r="B9" s="41" t="n"/>
      <c r="C9" s="41" t="inlineStr">
        <is>
          <t>Tema:</t>
        </is>
      </c>
      <c r="D9" s="96" t="inlineStr">
        <is>
          <t>GFF - Aplicação Móvel para Gestão Financeira Familiar</t>
        </is>
      </c>
      <c r="E9" s="38" t="n"/>
      <c r="F9" s="38" t="n"/>
      <c r="G9" s="38" t="n"/>
      <c r="H9" s="38" t="n"/>
      <c r="I9" s="38" t="n"/>
      <c r="J9" s="38" t="n"/>
      <c r="K9" s="7" t="n"/>
    </row>
    <row r="10" ht="18" customHeight="1" s="90">
      <c r="A10" s="41" t="inlineStr">
        <is>
          <t>Área de Formação:</t>
        </is>
      </c>
      <c r="D10" s="95" t="inlineStr">
        <is>
          <t>Ciências Informáticas (481)</t>
        </is>
      </c>
      <c r="E10" s="95" t="n"/>
      <c r="F10" s="95" t="n"/>
      <c r="G10" s="95" t="n"/>
      <c r="H10" s="95" t="n"/>
      <c r="I10" s="95" t="n"/>
      <c r="J10" s="95" t="n"/>
      <c r="K10" s="7" t="n"/>
    </row>
    <row r="11" ht="18.75" customHeight="1" s="90">
      <c r="A11" s="41" t="inlineStr">
        <is>
          <t>Curso Profissional:</t>
        </is>
      </c>
      <c r="D11" s="95" t="inlineStr">
        <is>
          <t>Técnico de Gestão e Programação de Sistemas Informáticos</t>
        </is>
      </c>
      <c r="E11" s="95" t="n"/>
      <c r="F11" s="95" t="n"/>
      <c r="G11" s="95" t="n"/>
      <c r="H11" s="95" t="n"/>
      <c r="I11" s="95" t="n"/>
      <c r="J11" s="95" t="n"/>
      <c r="K11" s="7" t="n"/>
    </row>
    <row r="12" ht="18" customHeight="1" s="90">
      <c r="A12" s="41" t="inlineStr">
        <is>
          <t>Saída Profissional:</t>
        </is>
      </c>
      <c r="D12" s="95" t="inlineStr">
        <is>
          <t>Técnico de Gestão e Programação de Sistemas Informáticos</t>
        </is>
      </c>
      <c r="E12" s="95" t="n"/>
      <c r="F12" s="95" t="n"/>
      <c r="G12" s="95" t="n"/>
      <c r="H12" s="95" t="n"/>
      <c r="I12" s="95" t="n"/>
      <c r="J12" s="95" t="n"/>
      <c r="K12" s="7" t="n"/>
    </row>
    <row r="13" ht="7.5" customHeight="1" s="90">
      <c r="A13" s="3" t="n"/>
    </row>
    <row r="14" ht="15" customHeight="1" s="90">
      <c r="A14" s="40" t="inlineStr">
        <is>
          <t>A – Desenvolvimento do Projeto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1" t="n"/>
    </row>
    <row r="15" ht="15" customHeight="1" s="90">
      <c r="A15" s="36" t="inlineStr">
        <is>
          <t>Cotação máxima</t>
        </is>
      </c>
      <c r="B15" s="31" t="n"/>
      <c r="C15" s="36" t="inlineStr">
        <is>
          <t>Itens avaliados</t>
        </is>
      </c>
      <c r="D15" s="33" t="n"/>
      <c r="E15" s="33" t="n"/>
      <c r="F15" s="33" t="n"/>
      <c r="G15" s="33" t="n"/>
      <c r="H15" s="33" t="n"/>
      <c r="I15" s="31" t="n"/>
      <c r="J15" s="36" t="inlineStr">
        <is>
          <t>Cotação atribuída</t>
        </is>
      </c>
      <c r="K15" s="31" t="n"/>
    </row>
    <row r="16" ht="12.75" customHeight="1" s="90">
      <c r="A16" s="36" t="n">
        <v>100</v>
      </c>
      <c r="B16" s="45" t="n"/>
      <c r="C16" s="32" t="inlineStr">
        <is>
          <t>Definição dos objectivos do projeto</t>
        </is>
      </c>
      <c r="D16" s="33" t="n"/>
      <c r="E16" s="33" t="n"/>
      <c r="F16" s="33" t="n"/>
      <c r="G16" s="33" t="n"/>
      <c r="H16" s="33" t="n"/>
      <c r="I16" s="31" t="n"/>
      <c r="J16" s="51">
        <f>'Avaliação'!K22*5</f>
        <v/>
      </c>
      <c r="K16" s="52" t="n"/>
    </row>
    <row r="17" ht="12.75" customHeight="1" s="90">
      <c r="A17" s="46" t="n"/>
      <c r="B17" s="47" t="n"/>
      <c r="C17" s="32" t="inlineStr">
        <is>
          <t>Qualidade científica e técnica</t>
        </is>
      </c>
      <c r="D17" s="33" t="n"/>
      <c r="E17" s="33" t="n"/>
      <c r="F17" s="33" t="n"/>
      <c r="G17" s="33" t="n"/>
      <c r="H17" s="33" t="n"/>
      <c r="I17" s="31" t="n"/>
      <c r="J17" s="53" t="n"/>
      <c r="K17" s="54" t="n"/>
    </row>
    <row r="18" ht="12.75" customHeight="1" s="90">
      <c r="A18" s="46" t="n"/>
      <c r="B18" s="47" t="n"/>
      <c r="C18" s="32" t="inlineStr">
        <is>
          <t>Pertinência, criatividade e inovação</t>
        </is>
      </c>
      <c r="D18" s="33" t="n"/>
      <c r="E18" s="33" t="n"/>
      <c r="F18" s="33" t="n"/>
      <c r="G18" s="33" t="n"/>
      <c r="H18" s="33" t="n"/>
      <c r="I18" s="31" t="n"/>
      <c r="J18" s="53" t="n"/>
      <c r="K18" s="54" t="n"/>
      <c r="M18" s="10" t="n"/>
    </row>
    <row r="19" ht="12.75" customHeight="1" s="90">
      <c r="A19" s="46" t="n"/>
      <c r="B19" s="47" t="n"/>
      <c r="C19" s="32" t="inlineStr">
        <is>
          <t>Planeamento dos recursos necessários</t>
        </is>
      </c>
      <c r="D19" s="33" t="n"/>
      <c r="E19" s="33" t="n"/>
      <c r="F19" s="33" t="n"/>
      <c r="G19" s="33" t="n"/>
      <c r="H19" s="33" t="n"/>
      <c r="I19" s="31" t="n"/>
      <c r="J19" s="53" t="n"/>
      <c r="K19" s="54" t="n"/>
    </row>
    <row r="20" ht="12.75" customHeight="1" s="90">
      <c r="A20" s="46" t="n"/>
      <c r="B20" s="47" t="n"/>
      <c r="C20" s="32" t="inlineStr">
        <is>
          <t>Definição das fases de execução do projeto</t>
        </is>
      </c>
      <c r="D20" s="33" t="n"/>
      <c r="E20" s="33" t="n"/>
      <c r="F20" s="33" t="n"/>
      <c r="G20" s="33" t="n"/>
      <c r="H20" s="33" t="n"/>
      <c r="I20" s="31" t="n"/>
      <c r="J20" s="53" t="n"/>
      <c r="K20" s="54" t="n"/>
    </row>
    <row r="21" ht="12.75" customHeight="1" s="90">
      <c r="A21" s="46" t="n"/>
      <c r="B21" s="47" t="n"/>
      <c r="C21" s="32" t="inlineStr">
        <is>
          <t>Autonomia</t>
        </is>
      </c>
      <c r="D21" s="33" t="n"/>
      <c r="E21" s="33" t="n"/>
      <c r="F21" s="33" t="n"/>
      <c r="G21" s="33" t="n"/>
      <c r="H21" s="33" t="n"/>
      <c r="I21" s="31" t="n"/>
      <c r="J21" s="53" t="n"/>
      <c r="K21" s="54" t="n"/>
    </row>
    <row r="22" ht="12.75" customHeight="1" s="90">
      <c r="A22" s="48" t="n"/>
      <c r="B22" s="49" t="n"/>
      <c r="C22" s="32" t="inlineStr">
        <is>
          <t>Sentido de responsabilidade e gestão do tempo</t>
        </is>
      </c>
      <c r="D22" s="33" t="n"/>
      <c r="E22" s="33" t="n"/>
      <c r="F22" s="33" t="n"/>
      <c r="G22" s="33" t="n"/>
      <c r="H22" s="33" t="n"/>
      <c r="I22" s="31" t="n"/>
      <c r="J22" s="55" t="n"/>
      <c r="K22" s="56" t="n"/>
    </row>
    <row r="23" ht="7.5" customHeight="1" s="90">
      <c r="A23" s="4" t="n"/>
    </row>
    <row r="24" ht="15" customHeight="1" s="90">
      <c r="A24" s="40" t="inlineStr">
        <is>
          <t>B – Relatório final</t>
        </is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1" t="n"/>
    </row>
    <row r="25" ht="15" customHeight="1" s="90">
      <c r="A25" s="36" t="inlineStr">
        <is>
          <t>Cotação máxima</t>
        </is>
      </c>
      <c r="B25" s="31" t="n"/>
      <c r="C25" s="36" t="inlineStr">
        <is>
          <t>Itens avaliados</t>
        </is>
      </c>
      <c r="D25" s="33" t="n"/>
      <c r="E25" s="33" t="n"/>
      <c r="F25" s="33" t="n"/>
      <c r="G25" s="33" t="n"/>
      <c r="H25" s="33" t="n"/>
      <c r="I25" s="31" t="n"/>
      <c r="J25" s="36" t="inlineStr">
        <is>
          <t>Cotação atribuída</t>
        </is>
      </c>
      <c r="K25" s="31" t="n"/>
    </row>
    <row r="26" ht="12.75" customHeight="1" s="90">
      <c r="A26" s="36" t="n">
        <v>40</v>
      </c>
      <c r="B26" s="45" t="n"/>
      <c r="C26" s="32" t="inlineStr">
        <is>
          <t>Objetividade</t>
        </is>
      </c>
      <c r="D26" s="33" t="n"/>
      <c r="E26" s="33" t="n"/>
      <c r="F26" s="33" t="n"/>
      <c r="G26" s="33" t="n"/>
      <c r="H26" s="33" t="n"/>
      <c r="I26" s="31" t="n"/>
      <c r="J26" s="51">
        <f>'Avaliação'!K29*2</f>
        <v/>
      </c>
      <c r="K26" s="52" t="n"/>
    </row>
    <row r="27" ht="12.75" customHeight="1" s="90">
      <c r="A27" s="46" t="n"/>
      <c r="B27" s="47" t="n"/>
      <c r="C27" s="32" t="inlineStr">
        <is>
          <t>Pertinência das informações</t>
        </is>
      </c>
      <c r="D27" s="33" t="n"/>
      <c r="E27" s="33" t="n"/>
      <c r="F27" s="33" t="n"/>
      <c r="G27" s="33" t="n"/>
      <c r="H27" s="33" t="n"/>
      <c r="I27" s="31" t="n"/>
      <c r="J27" s="53" t="n"/>
      <c r="K27" s="54" t="n"/>
      <c r="M27" s="10" t="n"/>
    </row>
    <row r="28" ht="12.75" customHeight="1" s="90">
      <c r="A28" s="46" t="n"/>
      <c r="B28" s="47" t="n"/>
      <c r="C28" s="32" t="inlineStr">
        <is>
          <t>Identificação das dificuldades e meios de as superar</t>
        </is>
      </c>
      <c r="D28" s="33" t="n"/>
      <c r="E28" s="33" t="n"/>
      <c r="F28" s="33" t="n"/>
      <c r="G28" s="33" t="n"/>
      <c r="H28" s="33" t="n"/>
      <c r="I28" s="31" t="n"/>
      <c r="J28" s="53" t="n"/>
      <c r="K28" s="54" t="n"/>
    </row>
    <row r="29" ht="12.75" customHeight="1" s="90">
      <c r="A29" s="46" t="n"/>
      <c r="B29" s="47" t="n"/>
      <c r="C29" s="32" t="inlineStr">
        <is>
          <t>Capacidade de análise crítica</t>
        </is>
      </c>
      <c r="D29" s="33" t="n"/>
      <c r="E29" s="33" t="n"/>
      <c r="F29" s="33" t="n"/>
      <c r="G29" s="33" t="n"/>
      <c r="H29" s="33" t="n"/>
      <c r="I29" s="31" t="n"/>
      <c r="J29" s="53" t="n"/>
      <c r="K29" s="54" t="n"/>
    </row>
    <row r="30" ht="12.75" customHeight="1" s="90">
      <c r="A30" s="48" t="n"/>
      <c r="B30" s="49" t="n"/>
      <c r="C30" s="32" t="inlineStr">
        <is>
          <t>Sentido de responsabilidade e gestão do tempo</t>
        </is>
      </c>
      <c r="D30" s="33" t="n"/>
      <c r="E30" s="33" t="n"/>
      <c r="F30" s="33" t="n"/>
      <c r="G30" s="33" t="n"/>
      <c r="H30" s="33" t="n"/>
      <c r="I30" s="31" t="n"/>
      <c r="J30" s="55" t="n"/>
      <c r="K30" s="56" t="n"/>
    </row>
    <row r="31" ht="7.5" customHeight="1" s="90">
      <c r="A31" s="4" t="n"/>
    </row>
    <row r="32" ht="15" customHeight="1" s="90">
      <c r="A32" s="40" t="inlineStr">
        <is>
          <t>C – Apresentação e Defesa do Projecto</t>
        </is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1" t="n"/>
    </row>
    <row r="33" ht="15" customHeight="1" s="90">
      <c r="A33" s="36" t="inlineStr">
        <is>
          <t>Cotação máxima</t>
        </is>
      </c>
      <c r="B33" s="31" t="n"/>
      <c r="C33" s="36" t="inlineStr">
        <is>
          <t>Itens avaliados</t>
        </is>
      </c>
      <c r="D33" s="33" t="n"/>
      <c r="E33" s="33" t="n"/>
      <c r="F33" s="33" t="n"/>
      <c r="G33" s="33" t="n"/>
      <c r="H33" s="33" t="n"/>
      <c r="I33" s="31" t="n"/>
      <c r="J33" s="36" t="inlineStr">
        <is>
          <t>Cotação atribuída</t>
        </is>
      </c>
      <c r="K33" s="31" t="n"/>
    </row>
    <row r="34" ht="12.75" customHeight="1" s="90">
      <c r="A34" s="36" t="n">
        <v>60</v>
      </c>
      <c r="B34" s="45" t="n"/>
      <c r="C34" s="32" t="inlineStr">
        <is>
          <t xml:space="preserve">Capacidade de expressão oral e de expressão corporal </t>
        </is>
      </c>
      <c r="D34" s="33" t="n"/>
      <c r="E34" s="33" t="n"/>
      <c r="F34" s="33" t="n"/>
      <c r="G34" s="33" t="n"/>
      <c r="H34" s="33" t="n"/>
      <c r="I34" s="31" t="n"/>
      <c r="J34" s="51">
        <f>'Avaliação'!K35*3</f>
        <v/>
      </c>
      <c r="K34" s="52" t="n"/>
    </row>
    <row r="35" ht="12.75" customHeight="1" s="90">
      <c r="A35" s="46" t="n"/>
      <c r="B35" s="47" t="n"/>
      <c r="C35" s="32" t="inlineStr">
        <is>
          <t>Capacidade de síntese</t>
        </is>
      </c>
      <c r="D35" s="33" t="n"/>
      <c r="E35" s="33" t="n"/>
      <c r="F35" s="33" t="n"/>
      <c r="G35" s="33" t="n"/>
      <c r="H35" s="33" t="n"/>
      <c r="I35" s="31" t="n"/>
      <c r="J35" s="53" t="n"/>
      <c r="K35" s="54" t="n"/>
    </row>
    <row r="36" ht="12.75" customHeight="1" s="90">
      <c r="A36" s="46" t="n"/>
      <c r="B36" s="47" t="n"/>
      <c r="C36" s="32" t="inlineStr">
        <is>
          <t>Qualidade dos recursos/estratégias utilizadas na apresentação</t>
        </is>
      </c>
      <c r="D36" s="33" t="n"/>
      <c r="E36" s="33" t="n"/>
      <c r="F36" s="33" t="n"/>
      <c r="G36" s="33" t="n"/>
      <c r="H36" s="33" t="n"/>
      <c r="I36" s="31" t="n"/>
      <c r="J36" s="53" t="n"/>
      <c r="K36" s="54" t="n"/>
      <c r="M36" s="10" t="n"/>
    </row>
    <row r="37" ht="12.75" customHeight="1" s="90">
      <c r="A37" s="48" t="n"/>
      <c r="B37" s="49" t="n"/>
      <c r="C37" s="32" t="inlineStr">
        <is>
          <t>Qualidade de argumentação na defesa do projeto</t>
        </is>
      </c>
      <c r="D37" s="33" t="n"/>
      <c r="E37" s="33" t="n"/>
      <c r="F37" s="33" t="n"/>
      <c r="G37" s="33" t="n"/>
      <c r="H37" s="33" t="n"/>
      <c r="I37" s="31" t="n"/>
      <c r="J37" s="55" t="n"/>
      <c r="K37" s="56" t="n"/>
    </row>
    <row r="38" ht="7.5" customHeight="1" s="90">
      <c r="A38" s="6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 ht="19.5" customHeight="1" s="90">
      <c r="A39" s="39">
        <f>SUM(A16,A26,A34)</f>
        <v/>
      </c>
      <c r="B39" s="31" t="n"/>
      <c r="C39" s="39" t="inlineStr">
        <is>
          <t>Avaliação Final</t>
        </is>
      </c>
      <c r="D39" s="33" t="n"/>
      <c r="E39" s="33" t="n"/>
      <c r="F39" s="33" t="n"/>
      <c r="G39" s="33" t="n"/>
      <c r="H39" s="33" t="n"/>
      <c r="I39" s="31" t="n"/>
      <c r="J39" s="30">
        <f>ROUND(SUM(J16,J26,J34),0)</f>
        <v/>
      </c>
      <c r="K39" s="31" t="n"/>
    </row>
    <row r="40" ht="7.5" customHeight="1" s="90">
      <c r="A40" s="4" t="n"/>
    </row>
    <row r="41" ht="12.75" customHeight="1" s="90">
      <c r="A41" s="40" t="inlineStr">
        <is>
          <t>Observações:</t>
        </is>
      </c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1" t="n"/>
    </row>
    <row r="42" ht="12.75" customHeight="1" s="90">
      <c r="A42" s="58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2" t="n"/>
    </row>
    <row r="43" ht="12.75" customHeight="1" s="90">
      <c r="A43" s="53" t="n"/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54" t="n"/>
    </row>
    <row r="44" ht="12.75" customHeight="1" s="90">
      <c r="A44" s="53" t="n"/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54" t="n"/>
    </row>
    <row r="45" ht="12.75" customHeight="1" s="90">
      <c r="A45" s="53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54" t="n"/>
    </row>
    <row r="46" ht="12.75" customHeight="1" s="90">
      <c r="A46" s="55" t="n"/>
      <c r="B46" s="60" t="n"/>
      <c r="C46" s="60" t="n"/>
      <c r="D46" s="60" t="n"/>
      <c r="E46" s="60" t="n"/>
      <c r="F46" s="60" t="n"/>
      <c r="G46" s="60" t="n"/>
      <c r="H46" s="60" t="n"/>
      <c r="I46" s="60" t="n"/>
      <c r="J46" s="60" t="n"/>
      <c r="K46" s="56" t="n"/>
    </row>
    <row r="47" ht="7.5" customHeight="1" s="90">
      <c r="A47" s="5" t="n"/>
    </row>
    <row r="48" ht="12.75" customHeight="1" s="90">
      <c r="B48" s="5" t="n"/>
      <c r="C48" s="44" t="inlineStr">
        <is>
          <t xml:space="preserve">Caldas da Rainha, </t>
        </is>
      </c>
      <c r="F48" s="5" t="n"/>
      <c r="G48" s="61">
        <f>NOW()</f>
        <v/>
      </c>
      <c r="J48" s="5" t="n"/>
      <c r="K48" s="5" t="n"/>
    </row>
    <row r="49" ht="7.5" customHeight="1" s="90">
      <c r="A49" s="5" t="n"/>
    </row>
    <row r="50" ht="12.75" customHeight="1" s="90">
      <c r="A50" s="5" t="n"/>
      <c r="E50" s="50" t="inlineStr">
        <is>
          <t>O Júri da Prova</t>
        </is>
      </c>
    </row>
    <row r="51" ht="7.5" customHeight="1" s="90">
      <c r="A51" s="5" t="n"/>
    </row>
    <row r="52" ht="12.75" customHeight="1" s="90">
      <c r="A52" s="35" t="inlineStr">
        <is>
          <t>Qualidade em que está nomeado</t>
        </is>
      </c>
      <c r="B52" s="33" t="n"/>
      <c r="C52" s="33" t="n"/>
      <c r="D52" s="33" t="n"/>
      <c r="E52" s="31" t="n"/>
      <c r="G52" s="35" t="inlineStr">
        <is>
          <t>Assinatura</t>
        </is>
      </c>
      <c r="H52" s="33" t="n"/>
      <c r="I52" s="33" t="n"/>
      <c r="J52" s="33" t="n"/>
      <c r="K52" s="31" t="n"/>
    </row>
    <row r="53" ht="22.5" customHeight="1" s="90">
      <c r="A53" s="32" t="inlineStr">
        <is>
          <t>Presidente do Júri</t>
        </is>
      </c>
      <c r="B53" s="33" t="n"/>
      <c r="C53" s="33" t="n"/>
      <c r="D53" s="33" t="n"/>
      <c r="E53" s="31" t="n"/>
      <c r="G53" s="34" t="n"/>
      <c r="H53" s="33" t="n"/>
      <c r="I53" s="33" t="n"/>
      <c r="J53" s="33" t="n"/>
      <c r="K53" s="31" t="n"/>
    </row>
    <row r="54" ht="22.5" customHeight="1" s="90">
      <c r="A54" s="32" t="inlineStr">
        <is>
          <t>Professor Orientador do Projeto</t>
        </is>
      </c>
      <c r="B54" s="33" t="n"/>
      <c r="C54" s="33" t="n"/>
      <c r="D54" s="33" t="n"/>
      <c r="E54" s="31" t="n"/>
      <c r="G54" s="34" t="n"/>
      <c r="H54" s="33" t="n"/>
      <c r="I54" s="33" t="n"/>
      <c r="J54" s="33" t="n"/>
      <c r="K54" s="31" t="n"/>
    </row>
    <row r="55" ht="22.5" customHeight="1" s="90">
      <c r="A55" s="32" t="inlineStr">
        <is>
          <t>Representante das Associações Empresariais</t>
        </is>
      </c>
      <c r="B55" s="33" t="n"/>
      <c r="C55" s="33" t="n"/>
      <c r="D55" s="33" t="n"/>
      <c r="E55" s="31" t="n"/>
      <c r="G55" s="34" t="n"/>
      <c r="H55" s="33" t="n"/>
      <c r="I55" s="33" t="n"/>
      <c r="J55" s="33" t="n"/>
      <c r="K55" s="31" t="n"/>
    </row>
    <row r="56" ht="22.5" customHeight="1" s="90">
      <c r="A56" s="32" t="inlineStr">
        <is>
          <t>Personalidade de reconhecido mérito</t>
        </is>
      </c>
      <c r="B56" s="33" t="n"/>
      <c r="C56" s="33" t="n"/>
      <c r="D56" s="33" t="n"/>
      <c r="E56" s="31" t="n"/>
      <c r="G56" s="34" t="n"/>
      <c r="H56" s="33" t="n"/>
      <c r="I56" s="33" t="n"/>
      <c r="J56" s="33" t="n"/>
      <c r="K56" s="31" t="n"/>
    </row>
  </sheetData>
  <mergeCells count="60">
    <mergeCell ref="J39:K39"/>
    <mergeCell ref="C36:I36"/>
    <mergeCell ref="G56:K56"/>
    <mergeCell ref="G52:K52"/>
    <mergeCell ref="A15:B15"/>
    <mergeCell ref="D9:J9"/>
    <mergeCell ref="C17:I17"/>
    <mergeCell ref="C39:I39"/>
    <mergeCell ref="D8:J8"/>
    <mergeCell ref="A24:K24"/>
    <mergeCell ref="A12:C12"/>
    <mergeCell ref="C19:I19"/>
    <mergeCell ref="C37:I37"/>
    <mergeCell ref="A6:K6"/>
    <mergeCell ref="C28:I28"/>
    <mergeCell ref="C18:I18"/>
    <mergeCell ref="A25:B25"/>
    <mergeCell ref="A54:E54"/>
    <mergeCell ref="A8:C8"/>
    <mergeCell ref="J15:K15"/>
    <mergeCell ref="A41:K41"/>
    <mergeCell ref="C34:I34"/>
    <mergeCell ref="C48:E48"/>
    <mergeCell ref="C30:I30"/>
    <mergeCell ref="G53:K53"/>
    <mergeCell ref="C15:I15"/>
    <mergeCell ref="C33:I33"/>
    <mergeCell ref="A56:E56"/>
    <mergeCell ref="A10:C10"/>
    <mergeCell ref="A55:E55"/>
    <mergeCell ref="A34:B37"/>
    <mergeCell ref="C26:I26"/>
    <mergeCell ref="A33:B33"/>
    <mergeCell ref="C35:I35"/>
    <mergeCell ref="J25:K25"/>
    <mergeCell ref="C20:I20"/>
    <mergeCell ref="E50:G50"/>
    <mergeCell ref="C29:I29"/>
    <mergeCell ref="C16:I16"/>
    <mergeCell ref="A32:K32"/>
    <mergeCell ref="A14:K14"/>
    <mergeCell ref="J26:K30"/>
    <mergeCell ref="C25:I25"/>
    <mergeCell ref="G55:K55"/>
    <mergeCell ref="A16:B22"/>
    <mergeCell ref="A53:E53"/>
    <mergeCell ref="C22:I22"/>
    <mergeCell ref="A11:C11"/>
    <mergeCell ref="A4:K4"/>
    <mergeCell ref="A52:E52"/>
    <mergeCell ref="J16:K22"/>
    <mergeCell ref="C21:I21"/>
    <mergeCell ref="J34:K37"/>
    <mergeCell ref="A26:B30"/>
    <mergeCell ref="A42:K46"/>
    <mergeCell ref="J33:K33"/>
    <mergeCell ref="G54:K54"/>
    <mergeCell ref="G48:I48"/>
    <mergeCell ref="C27:I27"/>
    <mergeCell ref="A39:B39"/>
  </mergeCells>
  <conditionalFormatting sqref="J16:K22 J34:K37">
    <cfRule type="cellIs" priority="1" operator="greaterThan" dxfId="0" stopIfTrue="1">
      <formula>$A$16</formula>
    </cfRule>
  </conditionalFormatting>
  <conditionalFormatting sqref="J26:K30">
    <cfRule type="cellIs" priority="2" operator="greaterThan" dxfId="0" stopIfTrue="1">
      <formula>$A$26</formula>
    </cfRule>
  </conditionalFormatting>
  <conditionalFormatting sqref="J39:K39">
    <cfRule type="cellIs" priority="3" operator="greaterThan" dxfId="0" stopIfTrue="1">
      <formula>200</formula>
    </cfRule>
  </conditionalFormatting>
  <dataValidations count="3">
    <dataValidation sqref="D10" showDropDown="0" showInputMessage="0" showErrorMessage="0" allowBlank="1" errorTitle="Valor inválido" error="Seleccione um valor da lista." type="list">
      <formula1>='Auxiliar'!$B$6:$B$8</formula1>
    </dataValidation>
    <dataValidation sqref="D12" showDropDown="0" showInputMessage="0" showErrorMessage="0" allowBlank="1" errorTitle="Valor inválido" error="Seleccione um valor da lista." type="list">
      <formula1>='Auxiliar'!$D$6:$D$8</formula1>
    </dataValidation>
    <dataValidation sqref="D11" showDropDown="0" showInputMessage="0" showErrorMessage="0" allowBlank="1" errorTitle="Valor inválido" error="Seleccione um valor da lista." type="list">
      <formula1>='Auxiliar'!$B$16:$B$18</formula1>
    </dataValidation>
  </dataValidations>
  <printOptions horizontalCentered="1"/>
  <pageMargins left="0.984251968503937" right="0.5905511811023623" top="0.5905511811023623" bottom="0.5905511811023623" header="0" footer="0"/>
  <pageSetup orientation="portrait" paperSize="9" scale="9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M56"/>
  <sheetViews>
    <sheetView zoomScale="150" workbookViewId="0">
      <selection activeCell="G64" sqref="G64"/>
    </sheetView>
  </sheetViews>
  <sheetFormatPr baseColWidth="8" defaultColWidth="9.140625" defaultRowHeight="12.75" customHeight="1"/>
  <cols>
    <col width="8.5703125" customWidth="1" style="42" min="1" max="5"/>
    <col width="2" customWidth="1" style="42" min="6" max="6"/>
    <col width="8.5703125" customWidth="1" style="42" min="7" max="11"/>
    <col width="9.140625" customWidth="1" style="42" min="12" max="16"/>
    <col width="9.140625" customWidth="1" style="42" min="17" max="16384"/>
  </cols>
  <sheetData>
    <row r="2" ht="16.9" customHeight="1" s="90">
      <c r="B2" s="9" t="n"/>
      <c r="C2" s="9" t="n"/>
      <c r="D2" s="9" t="inlineStr">
        <is>
          <t>Agrupamento de Escolas Raul Proença</t>
        </is>
      </c>
      <c r="E2" s="9" t="n"/>
      <c r="F2" s="9" t="n"/>
      <c r="G2" s="9" t="n"/>
      <c r="H2" s="9" t="n"/>
      <c r="I2" s="9" t="n"/>
      <c r="J2" s="9" t="n"/>
      <c r="K2" s="9" t="n"/>
    </row>
    <row r="4" ht="15" customHeight="1" s="90">
      <c r="A4" s="57" t="inlineStr">
        <is>
          <t>Ano letivo 2025/2026</t>
        </is>
      </c>
    </row>
    <row r="5" ht="7.5" customHeight="1" s="90">
      <c r="A5" s="2" t="n"/>
    </row>
    <row r="6" ht="15" customHeight="1" s="90">
      <c r="A6" s="43" t="inlineStr">
        <is>
          <t>Ata de Avaliação da Prova de Aptidão Profissional</t>
        </is>
      </c>
    </row>
    <row r="7" ht="12.75" customHeight="1" s="90">
      <c r="A7" s="3" t="n"/>
    </row>
    <row r="8" ht="12.75" customHeight="1" s="90">
      <c r="A8" s="41" t="inlineStr">
        <is>
          <t>Aluno:</t>
        </is>
      </c>
      <c r="D8" s="96" t="inlineStr">
        <is>
          <t>Afonso Rodrigo Oliveira Matos</t>
        </is>
      </c>
      <c r="E8" s="38" t="n"/>
      <c r="F8" s="38" t="n"/>
      <c r="G8" s="38" t="n"/>
      <c r="H8" s="38" t="n"/>
      <c r="I8" s="38" t="n"/>
      <c r="J8" s="38" t="n"/>
      <c r="K8" s="7" t="n"/>
    </row>
    <row r="9" ht="12.75" customHeight="1" s="90">
      <c r="A9" s="41" t="n"/>
      <c r="B9" s="41" t="n"/>
      <c r="C9" s="41" t="inlineStr">
        <is>
          <t>Tema:</t>
        </is>
      </c>
      <c r="D9" s="96" t="inlineStr">
        <is>
          <t>Ragnarök Kombat - Jogo de Luta 3D</t>
        </is>
      </c>
      <c r="E9" s="38" t="n"/>
      <c r="F9" s="38" t="n"/>
      <c r="G9" s="38" t="n"/>
      <c r="H9" s="38" t="n"/>
      <c r="I9" s="38" t="n"/>
      <c r="J9" s="38" t="n"/>
      <c r="K9" s="7" t="n"/>
    </row>
    <row r="10" ht="18" customHeight="1" s="90">
      <c r="A10" s="41" t="inlineStr">
        <is>
          <t>Área de Formação:</t>
        </is>
      </c>
      <c r="D10" s="95" t="inlineStr">
        <is>
          <t>Ciências Informáticas (481)</t>
        </is>
      </c>
      <c r="E10" s="95" t="n"/>
      <c r="F10" s="95" t="n"/>
      <c r="G10" s="95" t="n"/>
      <c r="H10" s="95" t="n"/>
      <c r="I10" s="95" t="n"/>
      <c r="J10" s="95" t="n"/>
      <c r="K10" s="7" t="n"/>
    </row>
    <row r="11" ht="18.75" customHeight="1" s="90">
      <c r="A11" s="41" t="inlineStr">
        <is>
          <t>Curso Profissional:</t>
        </is>
      </c>
      <c r="D11" s="95" t="inlineStr">
        <is>
          <t>Técnico de Gestão e Programação de Sistemas Informáticos</t>
        </is>
      </c>
      <c r="E11" s="95" t="n"/>
      <c r="F11" s="95" t="n"/>
      <c r="G11" s="95" t="n"/>
      <c r="H11" s="95" t="n"/>
      <c r="I11" s="95" t="n"/>
      <c r="J11" s="95" t="n"/>
      <c r="K11" s="7" t="n"/>
    </row>
    <row r="12" ht="18" customHeight="1" s="90">
      <c r="A12" s="41" t="inlineStr">
        <is>
          <t>Saída Profissional:</t>
        </is>
      </c>
      <c r="D12" s="95" t="inlineStr">
        <is>
          <t>Técnico de Gestão e Programação de Sistemas Informáticos</t>
        </is>
      </c>
      <c r="E12" s="95" t="n"/>
      <c r="F12" s="95" t="n"/>
      <c r="G12" s="95" t="n"/>
      <c r="H12" s="95" t="n"/>
      <c r="I12" s="95" t="n"/>
      <c r="J12" s="95" t="n"/>
      <c r="K12" s="7" t="n"/>
    </row>
    <row r="13" ht="7.5" customHeight="1" s="90">
      <c r="A13" s="3" t="n"/>
    </row>
    <row r="14" ht="15" customHeight="1" s="90">
      <c r="A14" s="40" t="inlineStr">
        <is>
          <t>A – Desenvolvimento do Projeto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1" t="n"/>
    </row>
    <row r="15" ht="15" customHeight="1" s="90">
      <c r="A15" s="36" t="inlineStr">
        <is>
          <t>Cotação máxima</t>
        </is>
      </c>
      <c r="B15" s="31" t="n"/>
      <c r="C15" s="36" t="inlineStr">
        <is>
          <t>Itens avaliados</t>
        </is>
      </c>
      <c r="D15" s="33" t="n"/>
      <c r="E15" s="33" t="n"/>
      <c r="F15" s="33" t="n"/>
      <c r="G15" s="33" t="n"/>
      <c r="H15" s="33" t="n"/>
      <c r="I15" s="31" t="n"/>
      <c r="J15" s="36" t="inlineStr">
        <is>
          <t>Cotação atribuída</t>
        </is>
      </c>
      <c r="K15" s="31" t="n"/>
    </row>
    <row r="16" ht="12.75" customHeight="1" s="90">
      <c r="A16" s="36" t="n">
        <v>100</v>
      </c>
      <c r="B16" s="45" t="n"/>
      <c r="C16" s="32" t="inlineStr">
        <is>
          <t>Definição dos objectivos do projeto</t>
        </is>
      </c>
      <c r="D16" s="33" t="n"/>
      <c r="E16" s="33" t="n"/>
      <c r="F16" s="33" t="n"/>
      <c r="G16" s="33" t="n"/>
      <c r="H16" s="33" t="n"/>
      <c r="I16" s="31" t="n"/>
      <c r="J16" s="51">
        <f>'Avaliação'!L22*5</f>
        <v/>
      </c>
      <c r="K16" s="52" t="n"/>
    </row>
    <row r="17" ht="12.75" customHeight="1" s="90">
      <c r="A17" s="46" t="n"/>
      <c r="B17" s="47" t="n"/>
      <c r="C17" s="32" t="inlineStr">
        <is>
          <t>Qualidade científica e técnica</t>
        </is>
      </c>
      <c r="D17" s="33" t="n"/>
      <c r="E17" s="33" t="n"/>
      <c r="F17" s="33" t="n"/>
      <c r="G17" s="33" t="n"/>
      <c r="H17" s="33" t="n"/>
      <c r="I17" s="31" t="n"/>
      <c r="J17" s="53" t="n"/>
      <c r="K17" s="54" t="n"/>
    </row>
    <row r="18" ht="12.75" customHeight="1" s="90">
      <c r="A18" s="46" t="n"/>
      <c r="B18" s="47" t="n"/>
      <c r="C18" s="32" t="inlineStr">
        <is>
          <t>Pertinência, criatividade e inovação</t>
        </is>
      </c>
      <c r="D18" s="33" t="n"/>
      <c r="E18" s="33" t="n"/>
      <c r="F18" s="33" t="n"/>
      <c r="G18" s="33" t="n"/>
      <c r="H18" s="33" t="n"/>
      <c r="I18" s="31" t="n"/>
      <c r="J18" s="53" t="n"/>
      <c r="K18" s="54" t="n"/>
      <c r="M18" s="10" t="n"/>
    </row>
    <row r="19" ht="12.75" customHeight="1" s="90">
      <c r="A19" s="46" t="n"/>
      <c r="B19" s="47" t="n"/>
      <c r="C19" s="32" t="inlineStr">
        <is>
          <t>Planeamento dos recursos necessários</t>
        </is>
      </c>
      <c r="D19" s="33" t="n"/>
      <c r="E19" s="33" t="n"/>
      <c r="F19" s="33" t="n"/>
      <c r="G19" s="33" t="n"/>
      <c r="H19" s="33" t="n"/>
      <c r="I19" s="31" t="n"/>
      <c r="J19" s="53" t="n"/>
      <c r="K19" s="54" t="n"/>
    </row>
    <row r="20" ht="12.75" customHeight="1" s="90">
      <c r="A20" s="46" t="n"/>
      <c r="B20" s="47" t="n"/>
      <c r="C20" s="32" t="inlineStr">
        <is>
          <t>Definição das fases de execução do projeto</t>
        </is>
      </c>
      <c r="D20" s="33" t="n"/>
      <c r="E20" s="33" t="n"/>
      <c r="F20" s="33" t="n"/>
      <c r="G20" s="33" t="n"/>
      <c r="H20" s="33" t="n"/>
      <c r="I20" s="31" t="n"/>
      <c r="J20" s="53" t="n"/>
      <c r="K20" s="54" t="n"/>
    </row>
    <row r="21" ht="12.75" customHeight="1" s="90">
      <c r="A21" s="46" t="n"/>
      <c r="B21" s="47" t="n"/>
      <c r="C21" s="32" t="inlineStr">
        <is>
          <t>Autonomia</t>
        </is>
      </c>
      <c r="D21" s="33" t="n"/>
      <c r="E21" s="33" t="n"/>
      <c r="F21" s="33" t="n"/>
      <c r="G21" s="33" t="n"/>
      <c r="H21" s="33" t="n"/>
      <c r="I21" s="31" t="n"/>
      <c r="J21" s="53" t="n"/>
      <c r="K21" s="54" t="n"/>
    </row>
    <row r="22" ht="12.75" customHeight="1" s="90">
      <c r="A22" s="48" t="n"/>
      <c r="B22" s="49" t="n"/>
      <c r="C22" s="32" t="inlineStr">
        <is>
          <t>Sentido de responsabilidade e gestão do tempo</t>
        </is>
      </c>
      <c r="D22" s="33" t="n"/>
      <c r="E22" s="33" t="n"/>
      <c r="F22" s="33" t="n"/>
      <c r="G22" s="33" t="n"/>
      <c r="H22" s="33" t="n"/>
      <c r="I22" s="31" t="n"/>
      <c r="J22" s="55" t="n"/>
      <c r="K22" s="56" t="n"/>
    </row>
    <row r="23" ht="7.5" customHeight="1" s="90">
      <c r="A23" s="4" t="n"/>
    </row>
    <row r="24" ht="15" customHeight="1" s="90">
      <c r="A24" s="40" t="inlineStr">
        <is>
          <t>B – Relatório final</t>
        </is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1" t="n"/>
    </row>
    <row r="25" ht="15" customHeight="1" s="90">
      <c r="A25" s="36" t="inlineStr">
        <is>
          <t>Cotação máxima</t>
        </is>
      </c>
      <c r="B25" s="31" t="n"/>
      <c r="C25" s="36" t="inlineStr">
        <is>
          <t>Itens avaliados</t>
        </is>
      </c>
      <c r="D25" s="33" t="n"/>
      <c r="E25" s="33" t="n"/>
      <c r="F25" s="33" t="n"/>
      <c r="G25" s="33" t="n"/>
      <c r="H25" s="33" t="n"/>
      <c r="I25" s="31" t="n"/>
      <c r="J25" s="36" t="inlineStr">
        <is>
          <t>Cotação atribuída</t>
        </is>
      </c>
      <c r="K25" s="31" t="n"/>
    </row>
    <row r="26" ht="12.75" customHeight="1" s="90">
      <c r="A26" s="36" t="n">
        <v>40</v>
      </c>
      <c r="B26" s="45" t="n"/>
      <c r="C26" s="32" t="inlineStr">
        <is>
          <t>Objetividade</t>
        </is>
      </c>
      <c r="D26" s="33" t="n"/>
      <c r="E26" s="33" t="n"/>
      <c r="F26" s="33" t="n"/>
      <c r="G26" s="33" t="n"/>
      <c r="H26" s="33" t="n"/>
      <c r="I26" s="31" t="n"/>
      <c r="J26" s="51">
        <f>'Avaliação'!L29*2</f>
        <v/>
      </c>
      <c r="K26" s="52" t="n"/>
    </row>
    <row r="27" ht="12.75" customHeight="1" s="90">
      <c r="A27" s="46" t="n"/>
      <c r="B27" s="47" t="n"/>
      <c r="C27" s="32" t="inlineStr">
        <is>
          <t>Pertinência das informações</t>
        </is>
      </c>
      <c r="D27" s="33" t="n"/>
      <c r="E27" s="33" t="n"/>
      <c r="F27" s="33" t="n"/>
      <c r="G27" s="33" t="n"/>
      <c r="H27" s="33" t="n"/>
      <c r="I27" s="31" t="n"/>
      <c r="J27" s="53" t="n"/>
      <c r="K27" s="54" t="n"/>
      <c r="M27" s="10" t="n"/>
    </row>
    <row r="28" ht="12.75" customHeight="1" s="90">
      <c r="A28" s="46" t="n"/>
      <c r="B28" s="47" t="n"/>
      <c r="C28" s="32" t="inlineStr">
        <is>
          <t>Identificação das dificuldades e meios de as superar</t>
        </is>
      </c>
      <c r="D28" s="33" t="n"/>
      <c r="E28" s="33" t="n"/>
      <c r="F28" s="33" t="n"/>
      <c r="G28" s="33" t="n"/>
      <c r="H28" s="33" t="n"/>
      <c r="I28" s="31" t="n"/>
      <c r="J28" s="53" t="n"/>
      <c r="K28" s="54" t="n"/>
    </row>
    <row r="29" ht="12.75" customHeight="1" s="90">
      <c r="A29" s="46" t="n"/>
      <c r="B29" s="47" t="n"/>
      <c r="C29" s="32" t="inlineStr">
        <is>
          <t>Capacidade de análise crítica</t>
        </is>
      </c>
      <c r="D29" s="33" t="n"/>
      <c r="E29" s="33" t="n"/>
      <c r="F29" s="33" t="n"/>
      <c r="G29" s="33" t="n"/>
      <c r="H29" s="33" t="n"/>
      <c r="I29" s="31" t="n"/>
      <c r="J29" s="53" t="n"/>
      <c r="K29" s="54" t="n"/>
    </row>
    <row r="30" ht="12.75" customHeight="1" s="90">
      <c r="A30" s="48" t="n"/>
      <c r="B30" s="49" t="n"/>
      <c r="C30" s="32" t="inlineStr">
        <is>
          <t>Sentido de responsabilidade e gestão do tempo</t>
        </is>
      </c>
      <c r="D30" s="33" t="n"/>
      <c r="E30" s="33" t="n"/>
      <c r="F30" s="33" t="n"/>
      <c r="G30" s="33" t="n"/>
      <c r="H30" s="33" t="n"/>
      <c r="I30" s="31" t="n"/>
      <c r="J30" s="55" t="n"/>
      <c r="K30" s="56" t="n"/>
    </row>
    <row r="31" ht="7.5" customHeight="1" s="90">
      <c r="A31" s="4" t="n"/>
    </row>
    <row r="32" ht="15" customHeight="1" s="90">
      <c r="A32" s="40" t="inlineStr">
        <is>
          <t>C – Apresentação e Defesa do Projecto</t>
        </is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1" t="n"/>
    </row>
    <row r="33" ht="15" customHeight="1" s="90">
      <c r="A33" s="36" t="inlineStr">
        <is>
          <t>Cotação máxima</t>
        </is>
      </c>
      <c r="B33" s="31" t="n"/>
      <c r="C33" s="36" t="inlineStr">
        <is>
          <t>Itens avaliados</t>
        </is>
      </c>
      <c r="D33" s="33" t="n"/>
      <c r="E33" s="33" t="n"/>
      <c r="F33" s="33" t="n"/>
      <c r="G33" s="33" t="n"/>
      <c r="H33" s="33" t="n"/>
      <c r="I33" s="31" t="n"/>
      <c r="J33" s="36" t="inlineStr">
        <is>
          <t>Cotação atribuída</t>
        </is>
      </c>
      <c r="K33" s="31" t="n"/>
    </row>
    <row r="34" ht="12.75" customHeight="1" s="90">
      <c r="A34" s="36" t="n">
        <v>60</v>
      </c>
      <c r="B34" s="45" t="n"/>
      <c r="C34" s="32" t="inlineStr">
        <is>
          <t xml:space="preserve">Capacidade de expressão oral e de expressão corporal </t>
        </is>
      </c>
      <c r="D34" s="33" t="n"/>
      <c r="E34" s="33" t="n"/>
      <c r="F34" s="33" t="n"/>
      <c r="G34" s="33" t="n"/>
      <c r="H34" s="33" t="n"/>
      <c r="I34" s="31" t="n"/>
      <c r="J34" s="51">
        <f>'Avaliação'!L35*3</f>
        <v/>
      </c>
      <c r="K34" s="52" t="n"/>
    </row>
    <row r="35" ht="12.75" customHeight="1" s="90">
      <c r="A35" s="46" t="n"/>
      <c r="B35" s="47" t="n"/>
      <c r="C35" s="32" t="inlineStr">
        <is>
          <t>Capacidade de síntese</t>
        </is>
      </c>
      <c r="D35" s="33" t="n"/>
      <c r="E35" s="33" t="n"/>
      <c r="F35" s="33" t="n"/>
      <c r="G35" s="33" t="n"/>
      <c r="H35" s="33" t="n"/>
      <c r="I35" s="31" t="n"/>
      <c r="J35" s="53" t="n"/>
      <c r="K35" s="54" t="n"/>
    </row>
    <row r="36" ht="12.75" customHeight="1" s="90">
      <c r="A36" s="46" t="n"/>
      <c r="B36" s="47" t="n"/>
      <c r="C36" s="32" t="inlineStr">
        <is>
          <t>Qualidade dos recursos/estratégias utilizadas na apresentação</t>
        </is>
      </c>
      <c r="D36" s="33" t="n"/>
      <c r="E36" s="33" t="n"/>
      <c r="F36" s="33" t="n"/>
      <c r="G36" s="33" t="n"/>
      <c r="H36" s="33" t="n"/>
      <c r="I36" s="31" t="n"/>
      <c r="J36" s="53" t="n"/>
      <c r="K36" s="54" t="n"/>
      <c r="M36" s="10" t="n"/>
    </row>
    <row r="37" ht="12.75" customHeight="1" s="90">
      <c r="A37" s="48" t="n"/>
      <c r="B37" s="49" t="n"/>
      <c r="C37" s="32" t="inlineStr">
        <is>
          <t>Qualidade de argumentação na defesa do projeto</t>
        </is>
      </c>
      <c r="D37" s="33" t="n"/>
      <c r="E37" s="33" t="n"/>
      <c r="F37" s="33" t="n"/>
      <c r="G37" s="33" t="n"/>
      <c r="H37" s="33" t="n"/>
      <c r="I37" s="31" t="n"/>
      <c r="J37" s="55" t="n"/>
      <c r="K37" s="56" t="n"/>
    </row>
    <row r="38" ht="7.5" customHeight="1" s="90">
      <c r="A38" s="6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 ht="19.5" customHeight="1" s="90">
      <c r="A39" s="39">
        <f>SUM(A16,A26,A34)</f>
        <v/>
      </c>
      <c r="B39" s="31" t="n"/>
      <c r="C39" s="39" t="inlineStr">
        <is>
          <t>Avaliação Final</t>
        </is>
      </c>
      <c r="D39" s="33" t="n"/>
      <c r="E39" s="33" t="n"/>
      <c r="F39" s="33" t="n"/>
      <c r="G39" s="33" t="n"/>
      <c r="H39" s="33" t="n"/>
      <c r="I39" s="31" t="n"/>
      <c r="J39" s="30">
        <f>ROUND(SUM(J16,J26,J34),0)</f>
        <v/>
      </c>
      <c r="K39" s="31" t="n"/>
    </row>
    <row r="40" ht="7.5" customHeight="1" s="90">
      <c r="A40" s="4" t="n"/>
    </row>
    <row r="41" ht="12.75" customHeight="1" s="90">
      <c r="A41" s="40" t="inlineStr">
        <is>
          <t>Observações:</t>
        </is>
      </c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1" t="n"/>
    </row>
    <row r="42" ht="12.75" customHeight="1" s="90">
      <c r="A42" s="58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2" t="n"/>
    </row>
    <row r="43" ht="12.75" customHeight="1" s="90">
      <c r="A43" s="53" t="n"/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54" t="n"/>
    </row>
    <row r="44" ht="12.75" customHeight="1" s="90">
      <c r="A44" s="53" t="n"/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54" t="n"/>
    </row>
    <row r="45" ht="12.75" customHeight="1" s="90">
      <c r="A45" s="53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54" t="n"/>
    </row>
    <row r="46" ht="12.75" customHeight="1" s="90">
      <c r="A46" s="55" t="n"/>
      <c r="B46" s="60" t="n"/>
      <c r="C46" s="60" t="n"/>
      <c r="D46" s="60" t="n"/>
      <c r="E46" s="60" t="n"/>
      <c r="F46" s="60" t="n"/>
      <c r="G46" s="60" t="n"/>
      <c r="H46" s="60" t="n"/>
      <c r="I46" s="60" t="n"/>
      <c r="J46" s="60" t="n"/>
      <c r="K46" s="56" t="n"/>
    </row>
    <row r="47" ht="7.5" customHeight="1" s="90">
      <c r="A47" s="5" t="n"/>
    </row>
    <row r="48" ht="12.75" customHeight="1" s="90">
      <c r="B48" s="5" t="n"/>
      <c r="C48" s="44" t="inlineStr">
        <is>
          <t xml:space="preserve">Caldas da Rainha, </t>
        </is>
      </c>
      <c r="F48" s="5" t="n"/>
      <c r="G48" s="61">
        <f>NOW()</f>
        <v/>
      </c>
      <c r="J48" s="5" t="n"/>
      <c r="K48" s="5" t="n"/>
    </row>
    <row r="49" ht="7.5" customHeight="1" s="90">
      <c r="A49" s="5" t="n"/>
    </row>
    <row r="50" ht="12.75" customHeight="1" s="90">
      <c r="A50" s="5" t="n"/>
      <c r="E50" s="50" t="inlineStr">
        <is>
          <t>O Júri da Prova</t>
        </is>
      </c>
    </row>
    <row r="51" ht="7.5" customHeight="1" s="90">
      <c r="A51" s="5" t="n"/>
    </row>
    <row r="52" ht="12.75" customHeight="1" s="90">
      <c r="A52" s="35" t="inlineStr">
        <is>
          <t>Qualidade em que está nomeado</t>
        </is>
      </c>
      <c r="B52" s="33" t="n"/>
      <c r="C52" s="33" t="n"/>
      <c r="D52" s="33" t="n"/>
      <c r="E52" s="31" t="n"/>
      <c r="G52" s="35" t="inlineStr">
        <is>
          <t>Assinatura</t>
        </is>
      </c>
      <c r="H52" s="33" t="n"/>
      <c r="I52" s="33" t="n"/>
      <c r="J52" s="33" t="n"/>
      <c r="K52" s="31" t="n"/>
    </row>
    <row r="53" ht="22.5" customHeight="1" s="90">
      <c r="A53" s="32" t="inlineStr">
        <is>
          <t>Presidente do Júri</t>
        </is>
      </c>
      <c r="B53" s="33" t="n"/>
      <c r="C53" s="33" t="n"/>
      <c r="D53" s="33" t="n"/>
      <c r="E53" s="31" t="n"/>
      <c r="G53" s="34" t="n"/>
      <c r="H53" s="33" t="n"/>
      <c r="I53" s="33" t="n"/>
      <c r="J53" s="33" t="n"/>
      <c r="K53" s="31" t="n"/>
    </row>
    <row r="54" ht="22.5" customHeight="1" s="90">
      <c r="A54" s="32" t="inlineStr">
        <is>
          <t>Professor Orientador do Projeto</t>
        </is>
      </c>
      <c r="B54" s="33" t="n"/>
      <c r="C54" s="33" t="n"/>
      <c r="D54" s="33" t="n"/>
      <c r="E54" s="31" t="n"/>
      <c r="G54" s="34" t="n"/>
      <c r="H54" s="33" t="n"/>
      <c r="I54" s="33" t="n"/>
      <c r="J54" s="33" t="n"/>
      <c r="K54" s="31" t="n"/>
    </row>
    <row r="55" ht="22.5" customHeight="1" s="90">
      <c r="A55" s="32" t="inlineStr">
        <is>
          <t>Representante das Associações Empresariais</t>
        </is>
      </c>
      <c r="B55" s="33" t="n"/>
      <c r="C55" s="33" t="n"/>
      <c r="D55" s="33" t="n"/>
      <c r="E55" s="31" t="n"/>
      <c r="G55" s="34" t="n"/>
      <c r="H55" s="33" t="n"/>
      <c r="I55" s="33" t="n"/>
      <c r="J55" s="33" t="n"/>
      <c r="K55" s="31" t="n"/>
    </row>
    <row r="56" ht="22.5" customHeight="1" s="90">
      <c r="A56" s="32" t="inlineStr">
        <is>
          <t>Personalidade de reconhecido mérito</t>
        </is>
      </c>
      <c r="B56" s="33" t="n"/>
      <c r="C56" s="33" t="n"/>
      <c r="D56" s="33" t="n"/>
      <c r="E56" s="31" t="n"/>
      <c r="G56" s="34" t="n"/>
      <c r="H56" s="33" t="n"/>
      <c r="I56" s="33" t="n"/>
      <c r="J56" s="33" t="n"/>
      <c r="K56" s="31" t="n"/>
    </row>
  </sheetData>
  <mergeCells count="60">
    <mergeCell ref="J39:K39"/>
    <mergeCell ref="C36:I36"/>
    <mergeCell ref="G56:K56"/>
    <mergeCell ref="G52:K52"/>
    <mergeCell ref="A15:B15"/>
    <mergeCell ref="D9:J9"/>
    <mergeCell ref="C17:I17"/>
    <mergeCell ref="C39:I39"/>
    <mergeCell ref="D8:J8"/>
    <mergeCell ref="A24:K24"/>
    <mergeCell ref="A12:C12"/>
    <mergeCell ref="C19:I19"/>
    <mergeCell ref="C37:I37"/>
    <mergeCell ref="A6:K6"/>
    <mergeCell ref="C28:I28"/>
    <mergeCell ref="C18:I18"/>
    <mergeCell ref="A25:B25"/>
    <mergeCell ref="A54:E54"/>
    <mergeCell ref="A8:C8"/>
    <mergeCell ref="J15:K15"/>
    <mergeCell ref="A41:K41"/>
    <mergeCell ref="C34:I34"/>
    <mergeCell ref="C48:E48"/>
    <mergeCell ref="C30:I30"/>
    <mergeCell ref="G53:K53"/>
    <mergeCell ref="C15:I15"/>
    <mergeCell ref="C33:I33"/>
    <mergeCell ref="A56:E56"/>
    <mergeCell ref="A10:C10"/>
    <mergeCell ref="A55:E55"/>
    <mergeCell ref="A34:B37"/>
    <mergeCell ref="C26:I26"/>
    <mergeCell ref="A33:B33"/>
    <mergeCell ref="C35:I35"/>
    <mergeCell ref="J25:K25"/>
    <mergeCell ref="C20:I20"/>
    <mergeCell ref="E50:G50"/>
    <mergeCell ref="C29:I29"/>
    <mergeCell ref="C16:I16"/>
    <mergeCell ref="A32:K32"/>
    <mergeCell ref="A14:K14"/>
    <mergeCell ref="J26:K30"/>
    <mergeCell ref="C25:I25"/>
    <mergeCell ref="G55:K55"/>
    <mergeCell ref="A16:B22"/>
    <mergeCell ref="A53:E53"/>
    <mergeCell ref="C22:I22"/>
    <mergeCell ref="A11:C11"/>
    <mergeCell ref="A4:K4"/>
    <mergeCell ref="A52:E52"/>
    <mergeCell ref="J16:K22"/>
    <mergeCell ref="C21:I21"/>
    <mergeCell ref="J34:K37"/>
    <mergeCell ref="A26:B30"/>
    <mergeCell ref="A42:K46"/>
    <mergeCell ref="J33:K33"/>
    <mergeCell ref="G54:K54"/>
    <mergeCell ref="G48:I48"/>
    <mergeCell ref="C27:I27"/>
    <mergeCell ref="A39:B39"/>
  </mergeCells>
  <conditionalFormatting sqref="J16:K22 J34:K37">
    <cfRule type="cellIs" priority="1" operator="greaterThan" dxfId="0" stopIfTrue="1">
      <formula>$A$16</formula>
    </cfRule>
  </conditionalFormatting>
  <conditionalFormatting sqref="J26:K30">
    <cfRule type="cellIs" priority="2" operator="greaterThan" dxfId="0" stopIfTrue="1">
      <formula>$A$26</formula>
    </cfRule>
  </conditionalFormatting>
  <conditionalFormatting sqref="J39:K39">
    <cfRule type="cellIs" priority="3" operator="greaterThan" dxfId="0" stopIfTrue="1">
      <formula>200</formula>
    </cfRule>
  </conditionalFormatting>
  <dataValidations count="3">
    <dataValidation sqref="D10" showDropDown="0" showInputMessage="0" showErrorMessage="0" allowBlank="1" errorTitle="Valor inválido" error="Seleccione um valor da lista." type="list">
      <formula1>='Auxiliar'!$B$6:$B$8</formula1>
    </dataValidation>
    <dataValidation sqref="D12" showDropDown="0" showInputMessage="0" showErrorMessage="0" allowBlank="1" errorTitle="Valor inválido" error="Seleccione um valor da lista." type="list">
      <formula1>='Auxiliar'!$D$6:$D$8</formula1>
    </dataValidation>
    <dataValidation sqref="D11" showDropDown="0" showInputMessage="0" showErrorMessage="0" allowBlank="1" errorTitle="Valor inválido" error="Seleccione um valor da lista." type="list">
      <formula1>='Auxiliar'!$B$16:$B$18</formula1>
    </dataValidation>
  </dataValidations>
  <printOptions horizontalCentered="1"/>
  <pageMargins left="0.984251968503937" right="0.5905511811023623" top="0.5905511811023623" bottom="0.5905511811023623" header="0" footer="0"/>
  <pageSetup orientation="portrait" paperSize="9" scale="9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2:M56"/>
  <sheetViews>
    <sheetView zoomScale="150" workbookViewId="0">
      <selection activeCell="B57" sqref="B57"/>
    </sheetView>
  </sheetViews>
  <sheetFormatPr baseColWidth="8" defaultColWidth="9.140625" defaultRowHeight="12.75" customHeight="1"/>
  <cols>
    <col width="8.5703125" customWidth="1" style="42" min="1" max="5"/>
    <col width="2" customWidth="1" style="42" min="6" max="6"/>
    <col width="8.5703125" customWidth="1" style="42" min="7" max="11"/>
    <col width="9.140625" customWidth="1" style="42" min="12" max="16"/>
    <col width="9.140625" customWidth="1" style="42" min="17" max="16384"/>
  </cols>
  <sheetData>
    <row r="2" ht="16.9" customHeight="1" s="90">
      <c r="B2" s="9" t="n"/>
      <c r="C2" s="9" t="n"/>
      <c r="D2" s="9" t="inlineStr">
        <is>
          <t>Agrupamento de Escolas Raul Proença</t>
        </is>
      </c>
      <c r="E2" s="9" t="n"/>
      <c r="F2" s="9" t="n"/>
      <c r="G2" s="9" t="n"/>
      <c r="H2" s="9" t="n"/>
      <c r="I2" s="9" t="n"/>
      <c r="J2" s="9" t="n"/>
      <c r="K2" s="9" t="n"/>
    </row>
    <row r="4" ht="15" customHeight="1" s="90">
      <c r="A4" s="57" t="inlineStr">
        <is>
          <t>Ano letivo 2025/2026</t>
        </is>
      </c>
    </row>
    <row r="5" ht="7.5" customHeight="1" s="90">
      <c r="A5" s="2" t="n"/>
    </row>
    <row r="6" ht="15" customHeight="1" s="90">
      <c r="A6" s="43" t="inlineStr">
        <is>
          <t>Ata de Avaliação da Prova de Aptidão Profissional</t>
        </is>
      </c>
    </row>
    <row r="7" ht="12.75" customHeight="1" s="90">
      <c r="A7" s="3" t="n"/>
    </row>
    <row r="8" ht="12.75" customHeight="1" s="90">
      <c r="A8" s="41" t="inlineStr">
        <is>
          <t>Aluno:</t>
        </is>
      </c>
      <c r="D8" s="96" t="inlineStr">
        <is>
          <t>Beatriz Isabel Costa Henriques</t>
        </is>
      </c>
      <c r="E8" s="38" t="n"/>
      <c r="F8" s="38" t="n"/>
      <c r="G8" s="38" t="n"/>
      <c r="H8" s="38" t="n"/>
      <c r="I8" s="38" t="n"/>
      <c r="J8" s="38" t="n"/>
      <c r="K8" s="7" t="n"/>
    </row>
    <row r="9" ht="12.75" customHeight="1" s="90">
      <c r="A9" s="41" t="n"/>
      <c r="B9" s="41" t="n"/>
      <c r="C9" s="41" t="inlineStr">
        <is>
          <t>Tema:</t>
        </is>
      </c>
      <c r="D9" s="96" t="inlineStr">
        <is>
          <t>DoIt - Aplicação Móvel Inteligente para Gestão de Tarefas e Projetos</t>
        </is>
      </c>
      <c r="E9" s="38" t="n"/>
      <c r="F9" s="38" t="n"/>
      <c r="G9" s="38" t="n"/>
      <c r="H9" s="38" t="n"/>
      <c r="I9" s="38" t="n"/>
      <c r="J9" s="38" t="n"/>
      <c r="K9" s="7" t="n"/>
    </row>
    <row r="10" ht="18" customHeight="1" s="90">
      <c r="A10" s="41" t="inlineStr">
        <is>
          <t>Área de Formação:</t>
        </is>
      </c>
      <c r="D10" s="95" t="inlineStr">
        <is>
          <t>Ciências Informáticas (481)</t>
        </is>
      </c>
      <c r="E10" s="95" t="n"/>
      <c r="F10" s="95" t="n"/>
      <c r="G10" s="95" t="n"/>
      <c r="H10" s="95" t="n"/>
      <c r="I10" s="95" t="n"/>
      <c r="J10" s="95" t="n"/>
      <c r="K10" s="7" t="n"/>
    </row>
    <row r="11" ht="18.75" customHeight="1" s="90">
      <c r="A11" s="41" t="inlineStr">
        <is>
          <t>Curso Profissional:</t>
        </is>
      </c>
      <c r="D11" s="95" t="inlineStr">
        <is>
          <t>Técnico de Gestão e Programação de Sistemas Informáticos</t>
        </is>
      </c>
      <c r="E11" s="95" t="n"/>
      <c r="F11" s="95" t="n"/>
      <c r="G11" s="95" t="n"/>
      <c r="H11" s="95" t="n"/>
      <c r="I11" s="95" t="n"/>
      <c r="J11" s="95" t="n"/>
      <c r="K11" s="7" t="n"/>
    </row>
    <row r="12" ht="18" customHeight="1" s="90">
      <c r="A12" s="41" t="inlineStr">
        <is>
          <t>Saída Profissional:</t>
        </is>
      </c>
      <c r="D12" s="95" t="inlineStr">
        <is>
          <t>Técnico de Gestão e Programação de Sistemas Informáticos</t>
        </is>
      </c>
      <c r="E12" s="95" t="n"/>
      <c r="F12" s="95" t="n"/>
      <c r="G12" s="95" t="n"/>
      <c r="H12" s="95" t="n"/>
      <c r="I12" s="95" t="n"/>
      <c r="J12" s="95" t="n"/>
      <c r="K12" s="7" t="n"/>
    </row>
    <row r="13" ht="7.5" customHeight="1" s="90">
      <c r="A13" s="3" t="n"/>
    </row>
    <row r="14" ht="15" customHeight="1" s="90">
      <c r="A14" s="40" t="inlineStr">
        <is>
          <t>A – Desenvolvimento do Projeto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1" t="n"/>
    </row>
    <row r="15" ht="15" customHeight="1" s="90">
      <c r="A15" s="36" t="inlineStr">
        <is>
          <t>Cotação máxima</t>
        </is>
      </c>
      <c r="B15" s="31" t="n"/>
      <c r="C15" s="36" t="inlineStr">
        <is>
          <t>Itens avaliados</t>
        </is>
      </c>
      <c r="D15" s="33" t="n"/>
      <c r="E15" s="33" t="n"/>
      <c r="F15" s="33" t="n"/>
      <c r="G15" s="33" t="n"/>
      <c r="H15" s="33" t="n"/>
      <c r="I15" s="31" t="n"/>
      <c r="J15" s="36" t="inlineStr">
        <is>
          <t>Cotação atribuída</t>
        </is>
      </c>
      <c r="K15" s="31" t="n"/>
    </row>
    <row r="16" ht="12.75" customHeight="1" s="90">
      <c r="A16" s="36" t="n">
        <v>100</v>
      </c>
      <c r="B16" s="45" t="n"/>
      <c r="C16" s="32" t="inlineStr">
        <is>
          <t>Definição dos objectivos do projeto</t>
        </is>
      </c>
      <c r="D16" s="33" t="n"/>
      <c r="E16" s="33" t="n"/>
      <c r="F16" s="33" t="n"/>
      <c r="G16" s="33" t="n"/>
      <c r="H16" s="33" t="n"/>
      <c r="I16" s="31" t="n"/>
      <c r="J16" s="51">
        <f>'Avaliação'!M22*5</f>
        <v/>
      </c>
      <c r="K16" s="52" t="n"/>
    </row>
    <row r="17" ht="12.75" customHeight="1" s="90">
      <c r="A17" s="46" t="n"/>
      <c r="B17" s="47" t="n"/>
      <c r="C17" s="32" t="inlineStr">
        <is>
          <t>Qualidade científica e técnica</t>
        </is>
      </c>
      <c r="D17" s="33" t="n"/>
      <c r="E17" s="33" t="n"/>
      <c r="F17" s="33" t="n"/>
      <c r="G17" s="33" t="n"/>
      <c r="H17" s="33" t="n"/>
      <c r="I17" s="31" t="n"/>
      <c r="J17" s="53" t="n"/>
      <c r="K17" s="54" t="n"/>
    </row>
    <row r="18" ht="12.75" customHeight="1" s="90">
      <c r="A18" s="46" t="n"/>
      <c r="B18" s="47" t="n"/>
      <c r="C18" s="32" t="inlineStr">
        <is>
          <t>Pertinência, criatividade e inovação</t>
        </is>
      </c>
      <c r="D18" s="33" t="n"/>
      <c r="E18" s="33" t="n"/>
      <c r="F18" s="33" t="n"/>
      <c r="G18" s="33" t="n"/>
      <c r="H18" s="33" t="n"/>
      <c r="I18" s="31" t="n"/>
      <c r="J18" s="53" t="n"/>
      <c r="K18" s="54" t="n"/>
      <c r="M18" s="10" t="n"/>
    </row>
    <row r="19" ht="12.75" customHeight="1" s="90">
      <c r="A19" s="46" t="n"/>
      <c r="B19" s="47" t="n"/>
      <c r="C19" s="32" t="inlineStr">
        <is>
          <t>Planeamento dos recursos necessários</t>
        </is>
      </c>
      <c r="D19" s="33" t="n"/>
      <c r="E19" s="33" t="n"/>
      <c r="F19" s="33" t="n"/>
      <c r="G19" s="33" t="n"/>
      <c r="H19" s="33" t="n"/>
      <c r="I19" s="31" t="n"/>
      <c r="J19" s="53" t="n"/>
      <c r="K19" s="54" t="n"/>
    </row>
    <row r="20" ht="12.75" customHeight="1" s="90">
      <c r="A20" s="46" t="n"/>
      <c r="B20" s="47" t="n"/>
      <c r="C20" s="32" t="inlineStr">
        <is>
          <t>Definição das fases de execução do projeto</t>
        </is>
      </c>
      <c r="D20" s="33" t="n"/>
      <c r="E20" s="33" t="n"/>
      <c r="F20" s="33" t="n"/>
      <c r="G20" s="33" t="n"/>
      <c r="H20" s="33" t="n"/>
      <c r="I20" s="31" t="n"/>
      <c r="J20" s="53" t="n"/>
      <c r="K20" s="54" t="n"/>
    </row>
    <row r="21" ht="12.75" customHeight="1" s="90">
      <c r="A21" s="46" t="n"/>
      <c r="B21" s="47" t="n"/>
      <c r="C21" s="32" t="inlineStr">
        <is>
          <t>Autonomia</t>
        </is>
      </c>
      <c r="D21" s="33" t="n"/>
      <c r="E21" s="33" t="n"/>
      <c r="F21" s="33" t="n"/>
      <c r="G21" s="33" t="n"/>
      <c r="H21" s="33" t="n"/>
      <c r="I21" s="31" t="n"/>
      <c r="J21" s="53" t="n"/>
      <c r="K21" s="54" t="n"/>
    </row>
    <row r="22" ht="12.75" customHeight="1" s="90">
      <c r="A22" s="48" t="n"/>
      <c r="B22" s="49" t="n"/>
      <c r="C22" s="32" t="inlineStr">
        <is>
          <t>Sentido de responsabilidade e gestão do tempo</t>
        </is>
      </c>
      <c r="D22" s="33" t="n"/>
      <c r="E22" s="33" t="n"/>
      <c r="F22" s="33" t="n"/>
      <c r="G22" s="33" t="n"/>
      <c r="H22" s="33" t="n"/>
      <c r="I22" s="31" t="n"/>
      <c r="J22" s="55" t="n"/>
      <c r="K22" s="56" t="n"/>
    </row>
    <row r="23" ht="7.5" customHeight="1" s="90">
      <c r="A23" s="4" t="n"/>
    </row>
    <row r="24" ht="15" customHeight="1" s="90">
      <c r="A24" s="40" t="inlineStr">
        <is>
          <t>B – Relatório final</t>
        </is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1" t="n"/>
    </row>
    <row r="25" ht="15" customHeight="1" s="90">
      <c r="A25" s="36" t="inlineStr">
        <is>
          <t>Cotação máxima</t>
        </is>
      </c>
      <c r="B25" s="31" t="n"/>
      <c r="C25" s="36" t="inlineStr">
        <is>
          <t>Itens avaliados</t>
        </is>
      </c>
      <c r="D25" s="33" t="n"/>
      <c r="E25" s="33" t="n"/>
      <c r="F25" s="33" t="n"/>
      <c r="G25" s="33" t="n"/>
      <c r="H25" s="33" t="n"/>
      <c r="I25" s="31" t="n"/>
      <c r="J25" s="36" t="inlineStr">
        <is>
          <t>Cotação atribuída</t>
        </is>
      </c>
      <c r="K25" s="31" t="n"/>
    </row>
    <row r="26" ht="12.75" customHeight="1" s="90">
      <c r="A26" s="36" t="n">
        <v>40</v>
      </c>
      <c r="B26" s="45" t="n"/>
      <c r="C26" s="32" t="inlineStr">
        <is>
          <t>Objetividade</t>
        </is>
      </c>
      <c r="D26" s="33" t="n"/>
      <c r="E26" s="33" t="n"/>
      <c r="F26" s="33" t="n"/>
      <c r="G26" s="33" t="n"/>
      <c r="H26" s="33" t="n"/>
      <c r="I26" s="31" t="n"/>
      <c r="J26" s="51">
        <f>'Avaliação'!M29*2</f>
        <v/>
      </c>
      <c r="K26" s="52" t="n"/>
    </row>
    <row r="27" ht="12.75" customHeight="1" s="90">
      <c r="A27" s="46" t="n"/>
      <c r="B27" s="47" t="n"/>
      <c r="C27" s="32" t="inlineStr">
        <is>
          <t>Pertinência das informações</t>
        </is>
      </c>
      <c r="D27" s="33" t="n"/>
      <c r="E27" s="33" t="n"/>
      <c r="F27" s="33" t="n"/>
      <c r="G27" s="33" t="n"/>
      <c r="H27" s="33" t="n"/>
      <c r="I27" s="31" t="n"/>
      <c r="J27" s="53" t="n"/>
      <c r="K27" s="54" t="n"/>
      <c r="M27" s="10" t="n"/>
    </row>
    <row r="28" ht="12.75" customHeight="1" s="90">
      <c r="A28" s="46" t="n"/>
      <c r="B28" s="47" t="n"/>
      <c r="C28" s="32" t="inlineStr">
        <is>
          <t>Identificação das dificuldades e meios de as superar</t>
        </is>
      </c>
      <c r="D28" s="33" t="n"/>
      <c r="E28" s="33" t="n"/>
      <c r="F28" s="33" t="n"/>
      <c r="G28" s="33" t="n"/>
      <c r="H28" s="33" t="n"/>
      <c r="I28" s="31" t="n"/>
      <c r="J28" s="53" t="n"/>
      <c r="K28" s="54" t="n"/>
    </row>
    <row r="29" ht="12.75" customHeight="1" s="90">
      <c r="A29" s="46" t="n"/>
      <c r="B29" s="47" t="n"/>
      <c r="C29" s="32" t="inlineStr">
        <is>
          <t>Capacidade de análise crítica</t>
        </is>
      </c>
      <c r="D29" s="33" t="n"/>
      <c r="E29" s="33" t="n"/>
      <c r="F29" s="33" t="n"/>
      <c r="G29" s="33" t="n"/>
      <c r="H29" s="33" t="n"/>
      <c r="I29" s="31" t="n"/>
      <c r="J29" s="53" t="n"/>
      <c r="K29" s="54" t="n"/>
    </row>
    <row r="30" ht="12.75" customHeight="1" s="90">
      <c r="A30" s="48" t="n"/>
      <c r="B30" s="49" t="n"/>
      <c r="C30" s="32" t="inlineStr">
        <is>
          <t>Sentido de responsabilidade e gestão do tempo</t>
        </is>
      </c>
      <c r="D30" s="33" t="n"/>
      <c r="E30" s="33" t="n"/>
      <c r="F30" s="33" t="n"/>
      <c r="G30" s="33" t="n"/>
      <c r="H30" s="33" t="n"/>
      <c r="I30" s="31" t="n"/>
      <c r="J30" s="55" t="n"/>
      <c r="K30" s="56" t="n"/>
    </row>
    <row r="31" ht="7.5" customHeight="1" s="90">
      <c r="A31" s="4" t="n"/>
    </row>
    <row r="32" ht="15" customHeight="1" s="90">
      <c r="A32" s="40" t="inlineStr">
        <is>
          <t>C – Apresentação e Defesa do Projecto</t>
        </is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1" t="n"/>
    </row>
    <row r="33" ht="15" customHeight="1" s="90">
      <c r="A33" s="36" t="inlineStr">
        <is>
          <t>Cotação máxima</t>
        </is>
      </c>
      <c r="B33" s="31" t="n"/>
      <c r="C33" s="36" t="inlineStr">
        <is>
          <t>Itens avaliados</t>
        </is>
      </c>
      <c r="D33" s="33" t="n"/>
      <c r="E33" s="33" t="n"/>
      <c r="F33" s="33" t="n"/>
      <c r="G33" s="33" t="n"/>
      <c r="H33" s="33" t="n"/>
      <c r="I33" s="31" t="n"/>
      <c r="J33" s="36" t="inlineStr">
        <is>
          <t>Cotação atribuída</t>
        </is>
      </c>
      <c r="K33" s="31" t="n"/>
    </row>
    <row r="34" ht="12.75" customHeight="1" s="90">
      <c r="A34" s="36" t="n">
        <v>60</v>
      </c>
      <c r="B34" s="45" t="n"/>
      <c r="C34" s="32" t="inlineStr">
        <is>
          <t xml:space="preserve">Capacidade de expressão oral e de expressão corporal </t>
        </is>
      </c>
      <c r="D34" s="33" t="n"/>
      <c r="E34" s="33" t="n"/>
      <c r="F34" s="33" t="n"/>
      <c r="G34" s="33" t="n"/>
      <c r="H34" s="33" t="n"/>
      <c r="I34" s="31" t="n"/>
      <c r="J34" s="51">
        <f>'Avaliação'!M35*3</f>
        <v/>
      </c>
      <c r="K34" s="52" t="n"/>
    </row>
    <row r="35" ht="12.75" customHeight="1" s="90">
      <c r="A35" s="46" t="n"/>
      <c r="B35" s="47" t="n"/>
      <c r="C35" s="32" t="inlineStr">
        <is>
          <t>Capacidade de síntese</t>
        </is>
      </c>
      <c r="D35" s="33" t="n"/>
      <c r="E35" s="33" t="n"/>
      <c r="F35" s="33" t="n"/>
      <c r="G35" s="33" t="n"/>
      <c r="H35" s="33" t="n"/>
      <c r="I35" s="31" t="n"/>
      <c r="J35" s="53" t="n"/>
      <c r="K35" s="54" t="n"/>
    </row>
    <row r="36" ht="12.75" customHeight="1" s="90">
      <c r="A36" s="46" t="n"/>
      <c r="B36" s="47" t="n"/>
      <c r="C36" s="32" t="inlineStr">
        <is>
          <t>Qualidade dos recursos/estratégias utilizadas na apresentação</t>
        </is>
      </c>
      <c r="D36" s="33" t="n"/>
      <c r="E36" s="33" t="n"/>
      <c r="F36" s="33" t="n"/>
      <c r="G36" s="33" t="n"/>
      <c r="H36" s="33" t="n"/>
      <c r="I36" s="31" t="n"/>
      <c r="J36" s="53" t="n"/>
      <c r="K36" s="54" t="n"/>
      <c r="M36" s="10" t="n"/>
    </row>
    <row r="37" ht="12.75" customHeight="1" s="90">
      <c r="A37" s="48" t="n"/>
      <c r="B37" s="49" t="n"/>
      <c r="C37" s="32" t="inlineStr">
        <is>
          <t>Qualidade de argumentação na defesa do projeto</t>
        </is>
      </c>
      <c r="D37" s="33" t="n"/>
      <c r="E37" s="33" t="n"/>
      <c r="F37" s="33" t="n"/>
      <c r="G37" s="33" t="n"/>
      <c r="H37" s="33" t="n"/>
      <c r="I37" s="31" t="n"/>
      <c r="J37" s="55" t="n"/>
      <c r="K37" s="56" t="n"/>
    </row>
    <row r="38" ht="7.5" customHeight="1" s="90">
      <c r="A38" s="6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 ht="19.5" customHeight="1" s="90">
      <c r="A39" s="39">
        <f>SUM(A16,A26,A34)</f>
        <v/>
      </c>
      <c r="B39" s="31" t="n"/>
      <c r="C39" s="39" t="inlineStr">
        <is>
          <t>Avaliação Final</t>
        </is>
      </c>
      <c r="D39" s="33" t="n"/>
      <c r="E39" s="33" t="n"/>
      <c r="F39" s="33" t="n"/>
      <c r="G39" s="33" t="n"/>
      <c r="H39" s="33" t="n"/>
      <c r="I39" s="31" t="n"/>
      <c r="J39" s="30">
        <f>ROUND(SUM(J16,J26,J34),0)</f>
        <v/>
      </c>
      <c r="K39" s="31" t="n"/>
    </row>
    <row r="40" ht="7.5" customHeight="1" s="90">
      <c r="A40" s="4" t="n"/>
    </row>
    <row r="41" ht="12.75" customHeight="1" s="90">
      <c r="A41" s="40" t="inlineStr">
        <is>
          <t>Observações:</t>
        </is>
      </c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1" t="n"/>
    </row>
    <row r="42" ht="12.75" customHeight="1" s="90">
      <c r="A42" s="58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2" t="n"/>
    </row>
    <row r="43" ht="12.75" customHeight="1" s="90">
      <c r="A43" s="53" t="n"/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54" t="n"/>
    </row>
    <row r="44" ht="12.75" customHeight="1" s="90">
      <c r="A44" s="53" t="n"/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54" t="n"/>
    </row>
    <row r="45" ht="12.75" customHeight="1" s="90">
      <c r="A45" s="53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54" t="n"/>
    </row>
    <row r="46" ht="12.75" customHeight="1" s="90">
      <c r="A46" s="55" t="n"/>
      <c r="B46" s="60" t="n"/>
      <c r="C46" s="60" t="n"/>
      <c r="D46" s="60" t="n"/>
      <c r="E46" s="60" t="n"/>
      <c r="F46" s="60" t="n"/>
      <c r="G46" s="60" t="n"/>
      <c r="H46" s="60" t="n"/>
      <c r="I46" s="60" t="n"/>
      <c r="J46" s="60" t="n"/>
      <c r="K46" s="56" t="n"/>
    </row>
    <row r="47" ht="7.5" customHeight="1" s="90">
      <c r="A47" s="5" t="n"/>
    </row>
    <row r="48" ht="12.75" customHeight="1" s="90">
      <c r="B48" s="5" t="n"/>
      <c r="C48" s="44" t="inlineStr">
        <is>
          <t xml:space="preserve">Caldas da Rainha, </t>
        </is>
      </c>
      <c r="F48" s="5" t="n"/>
      <c r="G48" s="61">
        <f>NOW()</f>
        <v/>
      </c>
      <c r="J48" s="5" t="n"/>
      <c r="K48" s="5" t="n"/>
    </row>
    <row r="49" ht="7.5" customHeight="1" s="90">
      <c r="A49" s="5" t="n"/>
    </row>
    <row r="50" ht="12.75" customHeight="1" s="90">
      <c r="A50" s="5" t="n"/>
      <c r="E50" s="50" t="inlineStr">
        <is>
          <t>O Júri da Prova</t>
        </is>
      </c>
    </row>
    <row r="51" ht="7.5" customHeight="1" s="90">
      <c r="A51" s="5" t="n"/>
    </row>
    <row r="52" ht="12.75" customHeight="1" s="90">
      <c r="A52" s="35" t="inlineStr">
        <is>
          <t>Qualidade em que está nomeado</t>
        </is>
      </c>
      <c r="B52" s="33" t="n"/>
      <c r="C52" s="33" t="n"/>
      <c r="D52" s="33" t="n"/>
      <c r="E52" s="31" t="n"/>
      <c r="G52" s="35" t="inlineStr">
        <is>
          <t>Assinatura</t>
        </is>
      </c>
      <c r="H52" s="33" t="n"/>
      <c r="I52" s="33" t="n"/>
      <c r="J52" s="33" t="n"/>
      <c r="K52" s="31" t="n"/>
    </row>
    <row r="53" ht="22.5" customHeight="1" s="90">
      <c r="A53" s="32" t="inlineStr">
        <is>
          <t>Presidente do Júri</t>
        </is>
      </c>
      <c r="B53" s="33" t="n"/>
      <c r="C53" s="33" t="n"/>
      <c r="D53" s="33" t="n"/>
      <c r="E53" s="31" t="n"/>
      <c r="G53" s="34" t="n"/>
      <c r="H53" s="33" t="n"/>
      <c r="I53" s="33" t="n"/>
      <c r="J53" s="33" t="n"/>
      <c r="K53" s="31" t="n"/>
    </row>
    <row r="54" ht="22.5" customHeight="1" s="90">
      <c r="A54" s="32" t="inlineStr">
        <is>
          <t>Professor Orientador do Projeto</t>
        </is>
      </c>
      <c r="B54" s="33" t="n"/>
      <c r="C54" s="33" t="n"/>
      <c r="D54" s="33" t="n"/>
      <c r="E54" s="31" t="n"/>
      <c r="G54" s="34" t="n"/>
      <c r="H54" s="33" t="n"/>
      <c r="I54" s="33" t="n"/>
      <c r="J54" s="33" t="n"/>
      <c r="K54" s="31" t="n"/>
    </row>
    <row r="55" ht="22.5" customHeight="1" s="90">
      <c r="A55" s="32" t="inlineStr">
        <is>
          <t>Representante das Associações Empresariais</t>
        </is>
      </c>
      <c r="B55" s="33" t="n"/>
      <c r="C55" s="33" t="n"/>
      <c r="D55" s="33" t="n"/>
      <c r="E55" s="31" t="n"/>
      <c r="G55" s="34" t="n"/>
      <c r="H55" s="33" t="n"/>
      <c r="I55" s="33" t="n"/>
      <c r="J55" s="33" t="n"/>
      <c r="K55" s="31" t="n"/>
    </row>
    <row r="56" ht="22.5" customHeight="1" s="90">
      <c r="A56" s="32" t="inlineStr">
        <is>
          <t>Personalidade de reconhecido mérito</t>
        </is>
      </c>
      <c r="B56" s="33" t="n"/>
      <c r="C56" s="33" t="n"/>
      <c r="D56" s="33" t="n"/>
      <c r="E56" s="31" t="n"/>
      <c r="G56" s="34" t="n"/>
      <c r="H56" s="33" t="n"/>
      <c r="I56" s="33" t="n"/>
      <c r="J56" s="33" t="n"/>
      <c r="K56" s="31" t="n"/>
    </row>
  </sheetData>
  <mergeCells count="60">
    <mergeCell ref="J39:K39"/>
    <mergeCell ref="C36:I36"/>
    <mergeCell ref="G56:K56"/>
    <mergeCell ref="G52:K52"/>
    <mergeCell ref="A15:B15"/>
    <mergeCell ref="D9:J9"/>
    <mergeCell ref="C17:I17"/>
    <mergeCell ref="C39:I39"/>
    <mergeCell ref="D8:J8"/>
    <mergeCell ref="A24:K24"/>
    <mergeCell ref="A12:C12"/>
    <mergeCell ref="C19:I19"/>
    <mergeCell ref="C37:I37"/>
    <mergeCell ref="A6:K6"/>
    <mergeCell ref="C28:I28"/>
    <mergeCell ref="C18:I18"/>
    <mergeCell ref="A25:B25"/>
    <mergeCell ref="A54:E54"/>
    <mergeCell ref="A8:C8"/>
    <mergeCell ref="J15:K15"/>
    <mergeCell ref="A41:K41"/>
    <mergeCell ref="C34:I34"/>
    <mergeCell ref="C48:E48"/>
    <mergeCell ref="C30:I30"/>
    <mergeCell ref="G53:K53"/>
    <mergeCell ref="C15:I15"/>
    <mergeCell ref="C33:I33"/>
    <mergeCell ref="A56:E56"/>
    <mergeCell ref="A10:C10"/>
    <mergeCell ref="A55:E55"/>
    <mergeCell ref="A34:B37"/>
    <mergeCell ref="C26:I26"/>
    <mergeCell ref="A33:B33"/>
    <mergeCell ref="C35:I35"/>
    <mergeCell ref="J25:K25"/>
    <mergeCell ref="C20:I20"/>
    <mergeCell ref="E50:G50"/>
    <mergeCell ref="C29:I29"/>
    <mergeCell ref="C16:I16"/>
    <mergeCell ref="A32:K32"/>
    <mergeCell ref="A14:K14"/>
    <mergeCell ref="J26:K30"/>
    <mergeCell ref="C25:I25"/>
    <mergeCell ref="G55:K55"/>
    <mergeCell ref="A16:B22"/>
    <mergeCell ref="A53:E53"/>
    <mergeCell ref="C22:I22"/>
    <mergeCell ref="A11:C11"/>
    <mergeCell ref="A4:K4"/>
    <mergeCell ref="A52:E52"/>
    <mergeCell ref="J16:K22"/>
    <mergeCell ref="C21:I21"/>
    <mergeCell ref="J34:K37"/>
    <mergeCell ref="A26:B30"/>
    <mergeCell ref="A42:K46"/>
    <mergeCell ref="J33:K33"/>
    <mergeCell ref="G54:K54"/>
    <mergeCell ref="G48:I48"/>
    <mergeCell ref="C27:I27"/>
    <mergeCell ref="A39:B39"/>
  </mergeCells>
  <conditionalFormatting sqref="J16:K22 J34:K37">
    <cfRule type="cellIs" priority="1" operator="greaterThan" dxfId="0" stopIfTrue="1">
      <formula>$A$16</formula>
    </cfRule>
  </conditionalFormatting>
  <conditionalFormatting sqref="J26:K30">
    <cfRule type="cellIs" priority="2" operator="greaterThan" dxfId="0" stopIfTrue="1">
      <formula>$A$26</formula>
    </cfRule>
  </conditionalFormatting>
  <conditionalFormatting sqref="J39:K39">
    <cfRule type="cellIs" priority="3" operator="greaterThan" dxfId="0" stopIfTrue="1">
      <formula>200</formula>
    </cfRule>
  </conditionalFormatting>
  <dataValidations count="3">
    <dataValidation sqref="D10" showDropDown="0" showInputMessage="0" showErrorMessage="0" allowBlank="1" errorTitle="Valor inválido" error="Seleccione um valor da lista." type="list">
      <formula1>='Auxiliar'!$B$6:$B$8</formula1>
    </dataValidation>
    <dataValidation sqref="D12" showDropDown="0" showInputMessage="0" showErrorMessage="0" allowBlank="1" errorTitle="Valor inválido" error="Seleccione um valor da lista." type="list">
      <formula1>='Auxiliar'!$D$6:$D$8</formula1>
    </dataValidation>
    <dataValidation sqref="D11" showDropDown="0" showInputMessage="0" showErrorMessage="0" allowBlank="1" errorTitle="Valor inválido" error="Seleccione um valor da lista." type="list">
      <formula1>='Auxiliar'!$B$16:$B$18</formula1>
    </dataValidation>
  </dataValidations>
  <printOptions horizontalCentered="1"/>
  <pageMargins left="0.984251968503937" right="0.5905511811023623" top="0.5905511811023623" bottom="0.5905511811023623" header="0" footer="0"/>
  <pageSetup orientation="portrait" paperSize="9" scale="94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2:M56"/>
  <sheetViews>
    <sheetView zoomScale="150" workbookViewId="0">
      <selection activeCell="B57" sqref="B57"/>
    </sheetView>
  </sheetViews>
  <sheetFormatPr baseColWidth="8" defaultColWidth="9.140625" defaultRowHeight="12.75" customHeight="1"/>
  <cols>
    <col width="8.5703125" customWidth="1" style="42" min="1" max="5"/>
    <col width="2" customWidth="1" style="42" min="6" max="6"/>
    <col width="8.5703125" customWidth="1" style="42" min="7" max="11"/>
    <col width="9.140625" customWidth="1" style="42" min="12" max="16"/>
    <col width="9.140625" customWidth="1" style="42" min="17" max="16384"/>
  </cols>
  <sheetData>
    <row r="2" ht="16.9" customHeight="1" s="90">
      <c r="B2" s="9" t="n"/>
      <c r="C2" s="9" t="n"/>
      <c r="D2" s="9" t="inlineStr">
        <is>
          <t>Agrupamento de Escolas Raul Proença</t>
        </is>
      </c>
      <c r="E2" s="9" t="n"/>
      <c r="F2" s="9" t="n"/>
      <c r="G2" s="9" t="n"/>
      <c r="H2" s="9" t="n"/>
      <c r="I2" s="9" t="n"/>
      <c r="J2" s="9" t="n"/>
      <c r="K2" s="9" t="n"/>
    </row>
    <row r="4" ht="15" customHeight="1" s="90">
      <c r="A4" s="57" t="inlineStr">
        <is>
          <t>Ano letivo 2025/2026</t>
        </is>
      </c>
    </row>
    <row r="5" ht="7.5" customHeight="1" s="90">
      <c r="A5" s="2" t="n"/>
    </row>
    <row r="6" ht="15" customHeight="1" s="90">
      <c r="A6" s="43" t="inlineStr">
        <is>
          <t>Ata de Avaliação da Prova de Aptidão Profissional</t>
        </is>
      </c>
    </row>
    <row r="7" ht="12.75" customHeight="1" s="90">
      <c r="A7" s="3" t="n"/>
    </row>
    <row r="8" ht="12.75" customHeight="1" s="90">
      <c r="A8" s="41" t="inlineStr">
        <is>
          <t>Aluno:</t>
        </is>
      </c>
      <c r="D8" s="96" t="inlineStr">
        <is>
          <t>Bernardo Ângelo Santos</t>
        </is>
      </c>
      <c r="E8" s="38" t="n"/>
      <c r="F8" s="38" t="n"/>
      <c r="G8" s="38" t="n"/>
      <c r="H8" s="38" t="n"/>
      <c r="I8" s="38" t="n"/>
      <c r="J8" s="38" t="n"/>
      <c r="K8" s="7" t="n"/>
    </row>
    <row r="9" ht="12.75" customHeight="1" s="90">
      <c r="A9" s="41" t="n"/>
      <c r="B9" s="41" t="n"/>
      <c r="C9" s="41" t="inlineStr">
        <is>
          <t>Tema:</t>
        </is>
      </c>
      <c r="D9" s="96" t="inlineStr">
        <is>
          <t>BrebasMotors - Plataforma Web para Gestão e Divulgação de uma Concessionária Automóvel</t>
        </is>
      </c>
      <c r="E9" s="38" t="n"/>
      <c r="F9" s="38" t="n"/>
      <c r="G9" s="38" t="n"/>
      <c r="H9" s="38" t="n"/>
      <c r="I9" s="38" t="n"/>
      <c r="J9" s="38" t="n"/>
      <c r="K9" s="7" t="n"/>
    </row>
    <row r="10" ht="18" customHeight="1" s="90">
      <c r="A10" s="41" t="inlineStr">
        <is>
          <t>Área de Formação:</t>
        </is>
      </c>
      <c r="D10" s="95" t="inlineStr">
        <is>
          <t>Ciências Informáticas (481)</t>
        </is>
      </c>
      <c r="E10" s="95" t="n"/>
      <c r="F10" s="95" t="n"/>
      <c r="G10" s="95" t="n"/>
      <c r="H10" s="95" t="n"/>
      <c r="I10" s="95" t="n"/>
      <c r="J10" s="95" t="n"/>
      <c r="K10" s="7" t="n"/>
    </row>
    <row r="11" ht="18.75" customHeight="1" s="90">
      <c r="A11" s="41" t="inlineStr">
        <is>
          <t>Curso Profissional:</t>
        </is>
      </c>
      <c r="D11" s="95" t="inlineStr">
        <is>
          <t>Técnico de Gestão e Programação de Sistemas Informáticos</t>
        </is>
      </c>
      <c r="E11" s="95" t="n"/>
      <c r="F11" s="95" t="n"/>
      <c r="G11" s="95" t="n"/>
      <c r="H11" s="95" t="n"/>
      <c r="I11" s="95" t="n"/>
      <c r="J11" s="95" t="n"/>
      <c r="K11" s="7" t="n"/>
    </row>
    <row r="12" ht="18" customHeight="1" s="90">
      <c r="A12" s="41" t="inlineStr">
        <is>
          <t>Saída Profissional:</t>
        </is>
      </c>
      <c r="D12" s="95" t="inlineStr">
        <is>
          <t>Técnico de Gestão e Programação de Sistemas Informáticos</t>
        </is>
      </c>
      <c r="E12" s="95" t="n"/>
      <c r="F12" s="95" t="n"/>
      <c r="G12" s="95" t="n"/>
      <c r="H12" s="95" t="n"/>
      <c r="I12" s="95" t="n"/>
      <c r="J12" s="95" t="n"/>
      <c r="K12" s="7" t="n"/>
    </row>
    <row r="13" ht="7.5" customHeight="1" s="90">
      <c r="A13" s="3" t="n"/>
    </row>
    <row r="14" ht="15" customHeight="1" s="90">
      <c r="A14" s="40" t="inlineStr">
        <is>
          <t>A – Desenvolvimento do Projeto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1" t="n"/>
    </row>
    <row r="15" ht="15" customHeight="1" s="90">
      <c r="A15" s="36" t="inlineStr">
        <is>
          <t>Cotação máxima</t>
        </is>
      </c>
      <c r="B15" s="31" t="n"/>
      <c r="C15" s="36" t="inlineStr">
        <is>
          <t>Itens avaliados</t>
        </is>
      </c>
      <c r="D15" s="33" t="n"/>
      <c r="E15" s="33" t="n"/>
      <c r="F15" s="33" t="n"/>
      <c r="G15" s="33" t="n"/>
      <c r="H15" s="33" t="n"/>
      <c r="I15" s="31" t="n"/>
      <c r="J15" s="36" t="inlineStr">
        <is>
          <t>Cotação atribuída</t>
        </is>
      </c>
      <c r="K15" s="31" t="n"/>
    </row>
    <row r="16" ht="12.75" customHeight="1" s="90">
      <c r="A16" s="36" t="n">
        <v>100</v>
      </c>
      <c r="B16" s="45" t="n"/>
      <c r="C16" s="32" t="inlineStr">
        <is>
          <t>Definição dos objectivos do projeto</t>
        </is>
      </c>
      <c r="D16" s="33" t="n"/>
      <c r="E16" s="33" t="n"/>
      <c r="F16" s="33" t="n"/>
      <c r="G16" s="33" t="n"/>
      <c r="H16" s="33" t="n"/>
      <c r="I16" s="31" t="n"/>
      <c r="J16" s="51">
        <f>'Avaliação'!N22*5</f>
        <v/>
      </c>
      <c r="K16" s="52" t="n"/>
    </row>
    <row r="17" ht="12.75" customHeight="1" s="90">
      <c r="A17" s="46" t="n"/>
      <c r="B17" s="47" t="n"/>
      <c r="C17" s="32" t="inlineStr">
        <is>
          <t>Qualidade científica e técnica</t>
        </is>
      </c>
      <c r="D17" s="33" t="n"/>
      <c r="E17" s="33" t="n"/>
      <c r="F17" s="33" t="n"/>
      <c r="G17" s="33" t="n"/>
      <c r="H17" s="33" t="n"/>
      <c r="I17" s="31" t="n"/>
      <c r="J17" s="53" t="n"/>
      <c r="K17" s="54" t="n"/>
    </row>
    <row r="18" ht="12.75" customHeight="1" s="90">
      <c r="A18" s="46" t="n"/>
      <c r="B18" s="47" t="n"/>
      <c r="C18" s="32" t="inlineStr">
        <is>
          <t>Pertinência, criatividade e inovação</t>
        </is>
      </c>
      <c r="D18" s="33" t="n"/>
      <c r="E18" s="33" t="n"/>
      <c r="F18" s="33" t="n"/>
      <c r="G18" s="33" t="n"/>
      <c r="H18" s="33" t="n"/>
      <c r="I18" s="31" t="n"/>
      <c r="J18" s="53" t="n"/>
      <c r="K18" s="54" t="n"/>
      <c r="M18" s="10" t="n"/>
    </row>
    <row r="19" ht="12.75" customHeight="1" s="90">
      <c r="A19" s="46" t="n"/>
      <c r="B19" s="47" t="n"/>
      <c r="C19" s="32" t="inlineStr">
        <is>
          <t>Planeamento dos recursos necessários</t>
        </is>
      </c>
      <c r="D19" s="33" t="n"/>
      <c r="E19" s="33" t="n"/>
      <c r="F19" s="33" t="n"/>
      <c r="G19" s="33" t="n"/>
      <c r="H19" s="33" t="n"/>
      <c r="I19" s="31" t="n"/>
      <c r="J19" s="53" t="n"/>
      <c r="K19" s="54" t="n"/>
    </row>
    <row r="20" ht="12.75" customHeight="1" s="90">
      <c r="A20" s="46" t="n"/>
      <c r="B20" s="47" t="n"/>
      <c r="C20" s="32" t="inlineStr">
        <is>
          <t>Definição das fases de execução do projeto</t>
        </is>
      </c>
      <c r="D20" s="33" t="n"/>
      <c r="E20" s="33" t="n"/>
      <c r="F20" s="33" t="n"/>
      <c r="G20" s="33" t="n"/>
      <c r="H20" s="33" t="n"/>
      <c r="I20" s="31" t="n"/>
      <c r="J20" s="53" t="n"/>
      <c r="K20" s="54" t="n"/>
    </row>
    <row r="21" ht="12.75" customHeight="1" s="90">
      <c r="A21" s="46" t="n"/>
      <c r="B21" s="47" t="n"/>
      <c r="C21" s="32" t="inlineStr">
        <is>
          <t>Autonomia</t>
        </is>
      </c>
      <c r="D21" s="33" t="n"/>
      <c r="E21" s="33" t="n"/>
      <c r="F21" s="33" t="n"/>
      <c r="G21" s="33" t="n"/>
      <c r="H21" s="33" t="n"/>
      <c r="I21" s="31" t="n"/>
      <c r="J21" s="53" t="n"/>
      <c r="K21" s="54" t="n"/>
    </row>
    <row r="22" ht="12.75" customHeight="1" s="90">
      <c r="A22" s="48" t="n"/>
      <c r="B22" s="49" t="n"/>
      <c r="C22" s="32" t="inlineStr">
        <is>
          <t>Sentido de responsabilidade e gestão do tempo</t>
        </is>
      </c>
      <c r="D22" s="33" t="n"/>
      <c r="E22" s="33" t="n"/>
      <c r="F22" s="33" t="n"/>
      <c r="G22" s="33" t="n"/>
      <c r="H22" s="33" t="n"/>
      <c r="I22" s="31" t="n"/>
      <c r="J22" s="55" t="n"/>
      <c r="K22" s="56" t="n"/>
    </row>
    <row r="23" ht="7.5" customHeight="1" s="90">
      <c r="A23" s="4" t="n"/>
    </row>
    <row r="24" ht="15" customHeight="1" s="90">
      <c r="A24" s="40" t="inlineStr">
        <is>
          <t>B – Relatório final</t>
        </is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1" t="n"/>
    </row>
    <row r="25" ht="15" customHeight="1" s="90">
      <c r="A25" s="36" t="inlineStr">
        <is>
          <t>Cotação máxima</t>
        </is>
      </c>
      <c r="B25" s="31" t="n"/>
      <c r="C25" s="36" t="inlineStr">
        <is>
          <t>Itens avaliados</t>
        </is>
      </c>
      <c r="D25" s="33" t="n"/>
      <c r="E25" s="33" t="n"/>
      <c r="F25" s="33" t="n"/>
      <c r="G25" s="33" t="n"/>
      <c r="H25" s="33" t="n"/>
      <c r="I25" s="31" t="n"/>
      <c r="J25" s="36" t="inlineStr">
        <is>
          <t>Cotação atribuída</t>
        </is>
      </c>
      <c r="K25" s="31" t="n"/>
    </row>
    <row r="26" ht="12.75" customHeight="1" s="90">
      <c r="A26" s="36" t="n">
        <v>40</v>
      </c>
      <c r="B26" s="45" t="n"/>
      <c r="C26" s="32" t="inlineStr">
        <is>
          <t>Objetividade</t>
        </is>
      </c>
      <c r="D26" s="33" t="n"/>
      <c r="E26" s="33" t="n"/>
      <c r="F26" s="33" t="n"/>
      <c r="G26" s="33" t="n"/>
      <c r="H26" s="33" t="n"/>
      <c r="I26" s="31" t="n"/>
      <c r="J26" s="51">
        <f>'Avaliação'!N29*2</f>
        <v/>
      </c>
      <c r="K26" s="52" t="n"/>
    </row>
    <row r="27" ht="12.75" customHeight="1" s="90">
      <c r="A27" s="46" t="n"/>
      <c r="B27" s="47" t="n"/>
      <c r="C27" s="32" t="inlineStr">
        <is>
          <t>Pertinência das informações</t>
        </is>
      </c>
      <c r="D27" s="33" t="n"/>
      <c r="E27" s="33" t="n"/>
      <c r="F27" s="33" t="n"/>
      <c r="G27" s="33" t="n"/>
      <c r="H27" s="33" t="n"/>
      <c r="I27" s="31" t="n"/>
      <c r="J27" s="53" t="n"/>
      <c r="K27" s="54" t="n"/>
      <c r="M27" s="10" t="n"/>
    </row>
    <row r="28" ht="12.75" customHeight="1" s="90">
      <c r="A28" s="46" t="n"/>
      <c r="B28" s="47" t="n"/>
      <c r="C28" s="32" t="inlineStr">
        <is>
          <t>Identificação das dificuldades e meios de as superar</t>
        </is>
      </c>
      <c r="D28" s="33" t="n"/>
      <c r="E28" s="33" t="n"/>
      <c r="F28" s="33" t="n"/>
      <c r="G28" s="33" t="n"/>
      <c r="H28" s="33" t="n"/>
      <c r="I28" s="31" t="n"/>
      <c r="J28" s="53" t="n"/>
      <c r="K28" s="54" t="n"/>
    </row>
    <row r="29" ht="12.75" customHeight="1" s="90">
      <c r="A29" s="46" t="n"/>
      <c r="B29" s="47" t="n"/>
      <c r="C29" s="32" t="inlineStr">
        <is>
          <t>Capacidade de análise crítica</t>
        </is>
      </c>
      <c r="D29" s="33" t="n"/>
      <c r="E29" s="33" t="n"/>
      <c r="F29" s="33" t="n"/>
      <c r="G29" s="33" t="n"/>
      <c r="H29" s="33" t="n"/>
      <c r="I29" s="31" t="n"/>
      <c r="J29" s="53" t="n"/>
      <c r="K29" s="54" t="n"/>
    </row>
    <row r="30" ht="12.75" customHeight="1" s="90">
      <c r="A30" s="48" t="n"/>
      <c r="B30" s="49" t="n"/>
      <c r="C30" s="32" t="inlineStr">
        <is>
          <t>Sentido de responsabilidade e gestão do tempo</t>
        </is>
      </c>
      <c r="D30" s="33" t="n"/>
      <c r="E30" s="33" t="n"/>
      <c r="F30" s="33" t="n"/>
      <c r="G30" s="33" t="n"/>
      <c r="H30" s="33" t="n"/>
      <c r="I30" s="31" t="n"/>
      <c r="J30" s="55" t="n"/>
      <c r="K30" s="56" t="n"/>
    </row>
    <row r="31" ht="7.5" customHeight="1" s="90">
      <c r="A31" s="4" t="n"/>
    </row>
    <row r="32" ht="15" customHeight="1" s="90">
      <c r="A32" s="40" t="inlineStr">
        <is>
          <t>C – Apresentação e Defesa do Projecto</t>
        </is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1" t="n"/>
    </row>
    <row r="33" ht="15" customHeight="1" s="90">
      <c r="A33" s="36" t="inlineStr">
        <is>
          <t>Cotação máxima</t>
        </is>
      </c>
      <c r="B33" s="31" t="n"/>
      <c r="C33" s="36" t="inlineStr">
        <is>
          <t>Itens avaliados</t>
        </is>
      </c>
      <c r="D33" s="33" t="n"/>
      <c r="E33" s="33" t="n"/>
      <c r="F33" s="33" t="n"/>
      <c r="G33" s="33" t="n"/>
      <c r="H33" s="33" t="n"/>
      <c r="I33" s="31" t="n"/>
      <c r="J33" s="36" t="inlineStr">
        <is>
          <t>Cotação atribuída</t>
        </is>
      </c>
      <c r="K33" s="31" t="n"/>
    </row>
    <row r="34" ht="12.75" customHeight="1" s="90">
      <c r="A34" s="36" t="n">
        <v>60</v>
      </c>
      <c r="B34" s="45" t="n"/>
      <c r="C34" s="32" t="inlineStr">
        <is>
          <t xml:space="preserve">Capacidade de expressão oral e de expressão corporal </t>
        </is>
      </c>
      <c r="D34" s="33" t="n"/>
      <c r="E34" s="33" t="n"/>
      <c r="F34" s="33" t="n"/>
      <c r="G34" s="33" t="n"/>
      <c r="H34" s="33" t="n"/>
      <c r="I34" s="31" t="n"/>
      <c r="J34" s="51">
        <f>'Avaliação'!N35*3</f>
        <v/>
      </c>
      <c r="K34" s="52" t="n"/>
    </row>
    <row r="35" ht="12.75" customHeight="1" s="90">
      <c r="A35" s="46" t="n"/>
      <c r="B35" s="47" t="n"/>
      <c r="C35" s="32" t="inlineStr">
        <is>
          <t>Capacidade de síntese</t>
        </is>
      </c>
      <c r="D35" s="33" t="n"/>
      <c r="E35" s="33" t="n"/>
      <c r="F35" s="33" t="n"/>
      <c r="G35" s="33" t="n"/>
      <c r="H35" s="33" t="n"/>
      <c r="I35" s="31" t="n"/>
      <c r="J35" s="53" t="n"/>
      <c r="K35" s="54" t="n"/>
    </row>
    <row r="36" ht="12.75" customHeight="1" s="90">
      <c r="A36" s="46" t="n"/>
      <c r="B36" s="47" t="n"/>
      <c r="C36" s="32" t="inlineStr">
        <is>
          <t>Qualidade dos recursos/estratégias utilizadas na apresentação</t>
        </is>
      </c>
      <c r="D36" s="33" t="n"/>
      <c r="E36" s="33" t="n"/>
      <c r="F36" s="33" t="n"/>
      <c r="G36" s="33" t="n"/>
      <c r="H36" s="33" t="n"/>
      <c r="I36" s="31" t="n"/>
      <c r="J36" s="53" t="n"/>
      <c r="K36" s="54" t="n"/>
      <c r="M36" s="10" t="n"/>
    </row>
    <row r="37" ht="12.75" customHeight="1" s="90">
      <c r="A37" s="48" t="n"/>
      <c r="B37" s="49" t="n"/>
      <c r="C37" s="32" t="inlineStr">
        <is>
          <t>Qualidade de argumentação na defesa do projeto</t>
        </is>
      </c>
      <c r="D37" s="33" t="n"/>
      <c r="E37" s="33" t="n"/>
      <c r="F37" s="33" t="n"/>
      <c r="G37" s="33" t="n"/>
      <c r="H37" s="33" t="n"/>
      <c r="I37" s="31" t="n"/>
      <c r="J37" s="55" t="n"/>
      <c r="K37" s="56" t="n"/>
    </row>
    <row r="38" ht="7.5" customHeight="1" s="90">
      <c r="A38" s="6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 ht="19.5" customHeight="1" s="90">
      <c r="A39" s="39">
        <f>SUM(A16,A26,A34)</f>
        <v/>
      </c>
      <c r="B39" s="31" t="n"/>
      <c r="C39" s="39" t="inlineStr">
        <is>
          <t>Avaliação Final</t>
        </is>
      </c>
      <c r="D39" s="33" t="n"/>
      <c r="E39" s="33" t="n"/>
      <c r="F39" s="33" t="n"/>
      <c r="G39" s="33" t="n"/>
      <c r="H39" s="33" t="n"/>
      <c r="I39" s="31" t="n"/>
      <c r="J39" s="30">
        <f>ROUND(SUM(J16,J26,J34),0)</f>
        <v/>
      </c>
      <c r="K39" s="31" t="n"/>
    </row>
    <row r="40" ht="7.5" customHeight="1" s="90">
      <c r="A40" s="4" t="n"/>
    </row>
    <row r="41" ht="12.75" customHeight="1" s="90">
      <c r="A41" s="40" t="inlineStr">
        <is>
          <t>Observações:</t>
        </is>
      </c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1" t="n"/>
    </row>
    <row r="42" ht="12.75" customHeight="1" s="90">
      <c r="A42" s="58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2" t="n"/>
    </row>
    <row r="43" ht="12.75" customHeight="1" s="90">
      <c r="A43" s="53" t="n"/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54" t="n"/>
    </row>
    <row r="44" ht="12.75" customHeight="1" s="90">
      <c r="A44" s="53" t="n"/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54" t="n"/>
    </row>
    <row r="45" ht="12.75" customHeight="1" s="90">
      <c r="A45" s="53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54" t="n"/>
    </row>
    <row r="46" ht="12.75" customHeight="1" s="90">
      <c r="A46" s="55" t="n"/>
      <c r="B46" s="60" t="n"/>
      <c r="C46" s="60" t="n"/>
      <c r="D46" s="60" t="n"/>
      <c r="E46" s="60" t="n"/>
      <c r="F46" s="60" t="n"/>
      <c r="G46" s="60" t="n"/>
      <c r="H46" s="60" t="n"/>
      <c r="I46" s="60" t="n"/>
      <c r="J46" s="60" t="n"/>
      <c r="K46" s="56" t="n"/>
    </row>
    <row r="47" ht="7.5" customHeight="1" s="90">
      <c r="A47" s="5" t="n"/>
    </row>
    <row r="48" ht="12.75" customHeight="1" s="90">
      <c r="B48" s="5" t="n"/>
      <c r="C48" s="44" t="inlineStr">
        <is>
          <t xml:space="preserve">Caldas da Rainha, </t>
        </is>
      </c>
      <c r="F48" s="5" t="n"/>
      <c r="G48" s="61">
        <f>NOW()</f>
        <v/>
      </c>
      <c r="J48" s="5" t="n"/>
      <c r="K48" s="5" t="n"/>
    </row>
    <row r="49" ht="7.5" customHeight="1" s="90">
      <c r="A49" s="5" t="n"/>
    </row>
    <row r="50" ht="12.75" customHeight="1" s="90">
      <c r="A50" s="5" t="n"/>
      <c r="E50" s="50" t="inlineStr">
        <is>
          <t>O Júri da Prova</t>
        </is>
      </c>
    </row>
    <row r="51" ht="7.5" customHeight="1" s="90">
      <c r="A51" s="5" t="n"/>
    </row>
    <row r="52" ht="12.75" customHeight="1" s="90">
      <c r="A52" s="35" t="inlineStr">
        <is>
          <t>Qualidade em que está nomeado</t>
        </is>
      </c>
      <c r="B52" s="33" t="n"/>
      <c r="C52" s="33" t="n"/>
      <c r="D52" s="33" t="n"/>
      <c r="E52" s="31" t="n"/>
      <c r="G52" s="35" t="inlineStr">
        <is>
          <t>Assinatura</t>
        </is>
      </c>
      <c r="H52" s="33" t="n"/>
      <c r="I52" s="33" t="n"/>
      <c r="J52" s="33" t="n"/>
      <c r="K52" s="31" t="n"/>
    </row>
    <row r="53" ht="22.5" customHeight="1" s="90">
      <c r="A53" s="32" t="inlineStr">
        <is>
          <t>Presidente do Júri</t>
        </is>
      </c>
      <c r="B53" s="33" t="n"/>
      <c r="C53" s="33" t="n"/>
      <c r="D53" s="33" t="n"/>
      <c r="E53" s="31" t="n"/>
      <c r="G53" s="34" t="n"/>
      <c r="H53" s="33" t="n"/>
      <c r="I53" s="33" t="n"/>
      <c r="J53" s="33" t="n"/>
      <c r="K53" s="31" t="n"/>
    </row>
    <row r="54" ht="22.5" customHeight="1" s="90">
      <c r="A54" s="32" t="inlineStr">
        <is>
          <t>Professor Orientador do Projeto</t>
        </is>
      </c>
      <c r="B54" s="33" t="n"/>
      <c r="C54" s="33" t="n"/>
      <c r="D54" s="33" t="n"/>
      <c r="E54" s="31" t="n"/>
      <c r="G54" s="34" t="n"/>
      <c r="H54" s="33" t="n"/>
      <c r="I54" s="33" t="n"/>
      <c r="J54" s="33" t="n"/>
      <c r="K54" s="31" t="n"/>
    </row>
    <row r="55" ht="22.5" customHeight="1" s="90">
      <c r="A55" s="32" t="inlineStr">
        <is>
          <t>Representante das Associações Empresariais</t>
        </is>
      </c>
      <c r="B55" s="33" t="n"/>
      <c r="C55" s="33" t="n"/>
      <c r="D55" s="33" t="n"/>
      <c r="E55" s="31" t="n"/>
      <c r="G55" s="34" t="n"/>
      <c r="H55" s="33" t="n"/>
      <c r="I55" s="33" t="n"/>
      <c r="J55" s="33" t="n"/>
      <c r="K55" s="31" t="n"/>
    </row>
    <row r="56" ht="22.5" customHeight="1" s="90">
      <c r="A56" s="32" t="inlineStr">
        <is>
          <t>Personalidade de reconhecido mérito</t>
        </is>
      </c>
      <c r="B56" s="33" t="n"/>
      <c r="C56" s="33" t="n"/>
      <c r="D56" s="33" t="n"/>
      <c r="E56" s="31" t="n"/>
      <c r="G56" s="34" t="n"/>
      <c r="H56" s="33" t="n"/>
      <c r="I56" s="33" t="n"/>
      <c r="J56" s="33" t="n"/>
      <c r="K56" s="31" t="n"/>
    </row>
  </sheetData>
  <mergeCells count="60">
    <mergeCell ref="J39:K39"/>
    <mergeCell ref="C36:I36"/>
    <mergeCell ref="G56:K56"/>
    <mergeCell ref="G52:K52"/>
    <mergeCell ref="A15:B15"/>
    <mergeCell ref="D9:J9"/>
    <mergeCell ref="C17:I17"/>
    <mergeCell ref="C39:I39"/>
    <mergeCell ref="D8:J8"/>
    <mergeCell ref="A24:K24"/>
    <mergeCell ref="A12:C12"/>
    <mergeCell ref="C19:I19"/>
    <mergeCell ref="C37:I37"/>
    <mergeCell ref="A6:K6"/>
    <mergeCell ref="C28:I28"/>
    <mergeCell ref="C18:I18"/>
    <mergeCell ref="A25:B25"/>
    <mergeCell ref="A54:E54"/>
    <mergeCell ref="A8:C8"/>
    <mergeCell ref="J15:K15"/>
    <mergeCell ref="A41:K41"/>
    <mergeCell ref="C34:I34"/>
    <mergeCell ref="C48:E48"/>
    <mergeCell ref="C30:I30"/>
    <mergeCell ref="G53:K53"/>
    <mergeCell ref="C15:I15"/>
    <mergeCell ref="C33:I33"/>
    <mergeCell ref="A56:E56"/>
    <mergeCell ref="A10:C10"/>
    <mergeCell ref="A55:E55"/>
    <mergeCell ref="A34:B37"/>
    <mergeCell ref="C26:I26"/>
    <mergeCell ref="A33:B33"/>
    <mergeCell ref="C35:I35"/>
    <mergeCell ref="J25:K25"/>
    <mergeCell ref="C20:I20"/>
    <mergeCell ref="E50:G50"/>
    <mergeCell ref="C29:I29"/>
    <mergeCell ref="C16:I16"/>
    <mergeCell ref="A32:K32"/>
    <mergeCell ref="A14:K14"/>
    <mergeCell ref="J26:K30"/>
    <mergeCell ref="C25:I25"/>
    <mergeCell ref="G55:K55"/>
    <mergeCell ref="A16:B22"/>
    <mergeCell ref="A53:E53"/>
    <mergeCell ref="C22:I22"/>
    <mergeCell ref="A11:C11"/>
    <mergeCell ref="A4:K4"/>
    <mergeCell ref="A52:E52"/>
    <mergeCell ref="J16:K22"/>
    <mergeCell ref="C21:I21"/>
    <mergeCell ref="J34:K37"/>
    <mergeCell ref="A26:B30"/>
    <mergeCell ref="A42:K46"/>
    <mergeCell ref="J33:K33"/>
    <mergeCell ref="G54:K54"/>
    <mergeCell ref="G48:I48"/>
    <mergeCell ref="C27:I27"/>
    <mergeCell ref="A39:B39"/>
  </mergeCells>
  <conditionalFormatting sqref="J16:K22 J34:K37">
    <cfRule type="cellIs" priority="1" operator="greaterThan" dxfId="0" stopIfTrue="1">
      <formula>$A$16</formula>
    </cfRule>
  </conditionalFormatting>
  <conditionalFormatting sqref="J26:K30">
    <cfRule type="cellIs" priority="2" operator="greaterThan" dxfId="0" stopIfTrue="1">
      <formula>$A$26</formula>
    </cfRule>
  </conditionalFormatting>
  <conditionalFormatting sqref="J39:K39">
    <cfRule type="cellIs" priority="3" operator="greaterThan" dxfId="0" stopIfTrue="1">
      <formula>200</formula>
    </cfRule>
  </conditionalFormatting>
  <dataValidations count="3">
    <dataValidation sqref="D10" showDropDown="0" showInputMessage="0" showErrorMessage="0" allowBlank="1" errorTitle="Valor inválido" error="Seleccione um valor da lista." type="list">
      <formula1>='Auxiliar'!$B$6:$B$8</formula1>
    </dataValidation>
    <dataValidation sqref="D12" showDropDown="0" showInputMessage="0" showErrorMessage="0" allowBlank="1" errorTitle="Valor inválido" error="Seleccione um valor da lista." type="list">
      <formula1>='Auxiliar'!$D$6:$D$8</formula1>
    </dataValidation>
    <dataValidation sqref="D11" showDropDown="0" showInputMessage="0" showErrorMessage="0" allowBlank="1" errorTitle="Valor inválido" error="Seleccione um valor da lista." type="list">
      <formula1>='Auxiliar'!$B$16:$B$18</formula1>
    </dataValidation>
  </dataValidations>
  <printOptions horizontalCentered="1"/>
  <pageMargins left="0.984251968503937" right="0.5905511811023623" top="0.5905511811023623" bottom="0.5905511811023623" header="0" footer="0"/>
  <pageSetup orientation="portrait" paperSize="9" scale="94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2:M56"/>
  <sheetViews>
    <sheetView zoomScale="150" workbookViewId="0">
      <selection activeCell="B57" sqref="B57"/>
    </sheetView>
  </sheetViews>
  <sheetFormatPr baseColWidth="8" defaultColWidth="9.140625" defaultRowHeight="12.75" customHeight="1"/>
  <cols>
    <col width="8.5703125" customWidth="1" style="42" min="1" max="5"/>
    <col width="2" customWidth="1" style="42" min="6" max="6"/>
    <col width="8.5703125" customWidth="1" style="42" min="7" max="11"/>
    <col width="9.140625" customWidth="1" style="42" min="12" max="16"/>
    <col width="9.140625" customWidth="1" style="42" min="17" max="16384"/>
  </cols>
  <sheetData>
    <row r="2" ht="16.9" customHeight="1" s="90">
      <c r="B2" s="9" t="n"/>
      <c r="C2" s="9" t="n"/>
      <c r="D2" s="9" t="inlineStr">
        <is>
          <t>Agrupamento de Escolas Raul Proença</t>
        </is>
      </c>
      <c r="E2" s="9" t="n"/>
      <c r="F2" s="9" t="n"/>
      <c r="G2" s="9" t="n"/>
      <c r="H2" s="9" t="n"/>
      <c r="I2" s="9" t="n"/>
      <c r="J2" s="9" t="n"/>
      <c r="K2" s="9" t="n"/>
    </row>
    <row r="4" ht="15" customHeight="1" s="90">
      <c r="A4" s="57" t="inlineStr">
        <is>
          <t>Ano letivo 2025/2026</t>
        </is>
      </c>
    </row>
    <row r="5" ht="7.5" customHeight="1" s="90">
      <c r="A5" s="2" t="n"/>
    </row>
    <row r="6" ht="15" customHeight="1" s="90">
      <c r="A6" s="43" t="inlineStr">
        <is>
          <t>Ata de Avaliação da Prova de Aptidão Profissional</t>
        </is>
      </c>
    </row>
    <row r="7" ht="12.75" customHeight="1" s="90">
      <c r="A7" s="3" t="n"/>
    </row>
    <row r="8" ht="12.75" customHeight="1" s="90">
      <c r="A8" s="41" t="inlineStr">
        <is>
          <t>Aluno:</t>
        </is>
      </c>
      <c r="D8" s="96" t="inlineStr">
        <is>
          <t>Dinis Costa Lourenço</t>
        </is>
      </c>
      <c r="E8" s="38" t="n"/>
      <c r="F8" s="38" t="n"/>
      <c r="G8" s="38" t="n"/>
      <c r="H8" s="38" t="n"/>
      <c r="I8" s="38" t="n"/>
      <c r="J8" s="38" t="n"/>
      <c r="K8" s="7" t="n"/>
    </row>
    <row r="9" ht="12.75" customHeight="1" s="90">
      <c r="A9" s="41" t="n"/>
      <c r="B9" s="41" t="n"/>
      <c r="C9" s="41" t="inlineStr">
        <is>
          <t>Tema:</t>
        </is>
      </c>
      <c r="D9" s="96" t="inlineStr">
        <is>
          <t>Suplfy - Plataforma de Comércio Eletrónico para Suplementação Desportiva</t>
        </is>
      </c>
      <c r="E9" s="38" t="n"/>
      <c r="F9" s="38" t="n"/>
      <c r="G9" s="38" t="n"/>
      <c r="H9" s="38" t="n"/>
      <c r="I9" s="38" t="n"/>
      <c r="J9" s="38" t="n"/>
      <c r="K9" s="7" t="n"/>
    </row>
    <row r="10" ht="18" customHeight="1" s="90">
      <c r="A10" s="41" t="inlineStr">
        <is>
          <t>Área de Formação:</t>
        </is>
      </c>
      <c r="D10" s="95" t="inlineStr">
        <is>
          <t>Ciências Informáticas (481)</t>
        </is>
      </c>
      <c r="E10" s="95" t="n"/>
      <c r="F10" s="95" t="n"/>
      <c r="G10" s="95" t="n"/>
      <c r="H10" s="95" t="n"/>
      <c r="I10" s="95" t="n"/>
      <c r="J10" s="95" t="n"/>
      <c r="K10" s="7" t="n"/>
    </row>
    <row r="11" ht="18.75" customHeight="1" s="90">
      <c r="A11" s="41" t="inlineStr">
        <is>
          <t>Curso Profissional:</t>
        </is>
      </c>
      <c r="D11" s="95" t="inlineStr">
        <is>
          <t>Técnico de Gestão e Programação de Sistemas Informáticos</t>
        </is>
      </c>
      <c r="E11" s="95" t="n"/>
      <c r="F11" s="95" t="n"/>
      <c r="G11" s="95" t="n"/>
      <c r="H11" s="95" t="n"/>
      <c r="I11" s="95" t="n"/>
      <c r="J11" s="95" t="n"/>
      <c r="K11" s="7" t="n"/>
    </row>
    <row r="12" ht="18" customHeight="1" s="90">
      <c r="A12" s="41" t="inlineStr">
        <is>
          <t>Saída Profissional:</t>
        </is>
      </c>
      <c r="D12" s="95" t="inlineStr">
        <is>
          <t>Técnico de Gestão e Programação de Sistemas Informáticos</t>
        </is>
      </c>
      <c r="E12" s="95" t="n"/>
      <c r="F12" s="95" t="n"/>
      <c r="G12" s="95" t="n"/>
      <c r="H12" s="95" t="n"/>
      <c r="I12" s="95" t="n"/>
      <c r="J12" s="95" t="n"/>
      <c r="K12" s="7" t="n"/>
    </row>
    <row r="13" ht="7.5" customHeight="1" s="90">
      <c r="A13" s="3" t="n"/>
    </row>
    <row r="14" ht="15" customHeight="1" s="90">
      <c r="A14" s="40" t="inlineStr">
        <is>
          <t>A – Desenvolvimento do Projeto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1" t="n"/>
    </row>
    <row r="15" ht="15" customHeight="1" s="90">
      <c r="A15" s="36" t="inlineStr">
        <is>
          <t>Cotação máxima</t>
        </is>
      </c>
      <c r="B15" s="31" t="n"/>
      <c r="C15" s="36" t="inlineStr">
        <is>
          <t>Itens avaliados</t>
        </is>
      </c>
      <c r="D15" s="33" t="n"/>
      <c r="E15" s="33" t="n"/>
      <c r="F15" s="33" t="n"/>
      <c r="G15" s="33" t="n"/>
      <c r="H15" s="33" t="n"/>
      <c r="I15" s="31" t="n"/>
      <c r="J15" s="36" t="inlineStr">
        <is>
          <t>Cotação atribuída</t>
        </is>
      </c>
      <c r="K15" s="31" t="n"/>
    </row>
    <row r="16" ht="12.75" customHeight="1" s="90">
      <c r="A16" s="36" t="n">
        <v>100</v>
      </c>
      <c r="B16" s="45" t="n"/>
      <c r="C16" s="32" t="inlineStr">
        <is>
          <t>Definição dos objectivos do projeto</t>
        </is>
      </c>
      <c r="D16" s="33" t="n"/>
      <c r="E16" s="33" t="n"/>
      <c r="F16" s="33" t="n"/>
      <c r="G16" s="33" t="n"/>
      <c r="H16" s="33" t="n"/>
      <c r="I16" s="31" t="n"/>
      <c r="J16" s="51">
        <f>'Avaliação'!O22*5</f>
        <v/>
      </c>
      <c r="K16" s="52" t="n"/>
    </row>
    <row r="17" ht="12.75" customHeight="1" s="90">
      <c r="A17" s="46" t="n"/>
      <c r="B17" s="47" t="n"/>
      <c r="C17" s="32" t="inlineStr">
        <is>
          <t>Qualidade científica e técnica</t>
        </is>
      </c>
      <c r="D17" s="33" t="n"/>
      <c r="E17" s="33" t="n"/>
      <c r="F17" s="33" t="n"/>
      <c r="G17" s="33" t="n"/>
      <c r="H17" s="33" t="n"/>
      <c r="I17" s="31" t="n"/>
      <c r="J17" s="53" t="n"/>
      <c r="K17" s="54" t="n"/>
    </row>
    <row r="18" ht="12.75" customHeight="1" s="90">
      <c r="A18" s="46" t="n"/>
      <c r="B18" s="47" t="n"/>
      <c r="C18" s="32" t="inlineStr">
        <is>
          <t>Pertinência, criatividade e inovação</t>
        </is>
      </c>
      <c r="D18" s="33" t="n"/>
      <c r="E18" s="33" t="n"/>
      <c r="F18" s="33" t="n"/>
      <c r="G18" s="33" t="n"/>
      <c r="H18" s="33" t="n"/>
      <c r="I18" s="31" t="n"/>
      <c r="J18" s="53" t="n"/>
      <c r="K18" s="54" t="n"/>
      <c r="M18" s="10" t="n"/>
    </row>
    <row r="19" ht="12.75" customHeight="1" s="90">
      <c r="A19" s="46" t="n"/>
      <c r="B19" s="47" t="n"/>
      <c r="C19" s="32" t="inlineStr">
        <is>
          <t>Planeamento dos recursos necessários</t>
        </is>
      </c>
      <c r="D19" s="33" t="n"/>
      <c r="E19" s="33" t="n"/>
      <c r="F19" s="33" t="n"/>
      <c r="G19" s="33" t="n"/>
      <c r="H19" s="33" t="n"/>
      <c r="I19" s="31" t="n"/>
      <c r="J19" s="53" t="n"/>
      <c r="K19" s="54" t="n"/>
    </row>
    <row r="20" ht="12.75" customHeight="1" s="90">
      <c r="A20" s="46" t="n"/>
      <c r="B20" s="47" t="n"/>
      <c r="C20" s="32" t="inlineStr">
        <is>
          <t>Definição das fases de execução do projeto</t>
        </is>
      </c>
      <c r="D20" s="33" t="n"/>
      <c r="E20" s="33" t="n"/>
      <c r="F20" s="33" t="n"/>
      <c r="G20" s="33" t="n"/>
      <c r="H20" s="33" t="n"/>
      <c r="I20" s="31" t="n"/>
      <c r="J20" s="53" t="n"/>
      <c r="K20" s="54" t="n"/>
    </row>
    <row r="21" ht="12.75" customHeight="1" s="90">
      <c r="A21" s="46" t="n"/>
      <c r="B21" s="47" t="n"/>
      <c r="C21" s="32" t="inlineStr">
        <is>
          <t>Autonomia</t>
        </is>
      </c>
      <c r="D21" s="33" t="n"/>
      <c r="E21" s="33" t="n"/>
      <c r="F21" s="33" t="n"/>
      <c r="G21" s="33" t="n"/>
      <c r="H21" s="33" t="n"/>
      <c r="I21" s="31" t="n"/>
      <c r="J21" s="53" t="n"/>
      <c r="K21" s="54" t="n"/>
    </row>
    <row r="22" ht="12.75" customHeight="1" s="90">
      <c r="A22" s="48" t="n"/>
      <c r="B22" s="49" t="n"/>
      <c r="C22" s="32" t="inlineStr">
        <is>
          <t>Sentido de responsabilidade e gestão do tempo</t>
        </is>
      </c>
      <c r="D22" s="33" t="n"/>
      <c r="E22" s="33" t="n"/>
      <c r="F22" s="33" t="n"/>
      <c r="G22" s="33" t="n"/>
      <c r="H22" s="33" t="n"/>
      <c r="I22" s="31" t="n"/>
      <c r="J22" s="55" t="n"/>
      <c r="K22" s="56" t="n"/>
    </row>
    <row r="23" ht="7.5" customHeight="1" s="90">
      <c r="A23" s="4" t="n"/>
    </row>
    <row r="24" ht="15" customHeight="1" s="90">
      <c r="A24" s="40" t="inlineStr">
        <is>
          <t>B – Relatório final</t>
        </is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1" t="n"/>
    </row>
    <row r="25" ht="15" customHeight="1" s="90">
      <c r="A25" s="36" t="inlineStr">
        <is>
          <t>Cotação máxima</t>
        </is>
      </c>
      <c r="B25" s="31" t="n"/>
      <c r="C25" s="36" t="inlineStr">
        <is>
          <t>Itens avaliados</t>
        </is>
      </c>
      <c r="D25" s="33" t="n"/>
      <c r="E25" s="33" t="n"/>
      <c r="F25" s="33" t="n"/>
      <c r="G25" s="33" t="n"/>
      <c r="H25" s="33" t="n"/>
      <c r="I25" s="31" t="n"/>
      <c r="J25" s="36" t="inlineStr">
        <is>
          <t>Cotação atribuída</t>
        </is>
      </c>
      <c r="K25" s="31" t="n"/>
    </row>
    <row r="26" ht="12.75" customHeight="1" s="90">
      <c r="A26" s="36" t="n">
        <v>40</v>
      </c>
      <c r="B26" s="45" t="n"/>
      <c r="C26" s="32" t="inlineStr">
        <is>
          <t>Objetividade</t>
        </is>
      </c>
      <c r="D26" s="33" t="n"/>
      <c r="E26" s="33" t="n"/>
      <c r="F26" s="33" t="n"/>
      <c r="G26" s="33" t="n"/>
      <c r="H26" s="33" t="n"/>
      <c r="I26" s="31" t="n"/>
      <c r="J26" s="51">
        <f>'Avaliação'!O29*2</f>
        <v/>
      </c>
      <c r="K26" s="52" t="n"/>
    </row>
    <row r="27" ht="12.75" customHeight="1" s="90">
      <c r="A27" s="46" t="n"/>
      <c r="B27" s="47" t="n"/>
      <c r="C27" s="32" t="inlineStr">
        <is>
          <t>Pertinência das informações</t>
        </is>
      </c>
      <c r="D27" s="33" t="n"/>
      <c r="E27" s="33" t="n"/>
      <c r="F27" s="33" t="n"/>
      <c r="G27" s="33" t="n"/>
      <c r="H27" s="33" t="n"/>
      <c r="I27" s="31" t="n"/>
      <c r="J27" s="53" t="n"/>
      <c r="K27" s="54" t="n"/>
      <c r="M27" s="10" t="n"/>
    </row>
    <row r="28" ht="12.75" customHeight="1" s="90">
      <c r="A28" s="46" t="n"/>
      <c r="B28" s="47" t="n"/>
      <c r="C28" s="32" t="inlineStr">
        <is>
          <t>Identificação das dificuldades e meios de as superar</t>
        </is>
      </c>
      <c r="D28" s="33" t="n"/>
      <c r="E28" s="33" t="n"/>
      <c r="F28" s="33" t="n"/>
      <c r="G28" s="33" t="n"/>
      <c r="H28" s="33" t="n"/>
      <c r="I28" s="31" t="n"/>
      <c r="J28" s="53" t="n"/>
      <c r="K28" s="54" t="n"/>
    </row>
    <row r="29" ht="12.75" customHeight="1" s="90">
      <c r="A29" s="46" t="n"/>
      <c r="B29" s="47" t="n"/>
      <c r="C29" s="32" t="inlineStr">
        <is>
          <t>Capacidade de análise crítica</t>
        </is>
      </c>
      <c r="D29" s="33" t="n"/>
      <c r="E29" s="33" t="n"/>
      <c r="F29" s="33" t="n"/>
      <c r="G29" s="33" t="n"/>
      <c r="H29" s="33" t="n"/>
      <c r="I29" s="31" t="n"/>
      <c r="J29" s="53" t="n"/>
      <c r="K29" s="54" t="n"/>
    </row>
    <row r="30" ht="12.75" customHeight="1" s="90">
      <c r="A30" s="48" t="n"/>
      <c r="B30" s="49" t="n"/>
      <c r="C30" s="32" t="inlineStr">
        <is>
          <t>Sentido de responsabilidade e gestão do tempo</t>
        </is>
      </c>
      <c r="D30" s="33" t="n"/>
      <c r="E30" s="33" t="n"/>
      <c r="F30" s="33" t="n"/>
      <c r="G30" s="33" t="n"/>
      <c r="H30" s="33" t="n"/>
      <c r="I30" s="31" t="n"/>
      <c r="J30" s="55" t="n"/>
      <c r="K30" s="56" t="n"/>
    </row>
    <row r="31" ht="7.5" customHeight="1" s="90">
      <c r="A31" s="4" t="n"/>
    </row>
    <row r="32" ht="15" customHeight="1" s="90">
      <c r="A32" s="40" t="inlineStr">
        <is>
          <t>C – Apresentação e Defesa do Projecto</t>
        </is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1" t="n"/>
    </row>
    <row r="33" ht="15" customHeight="1" s="90">
      <c r="A33" s="36" t="inlineStr">
        <is>
          <t>Cotação máxima</t>
        </is>
      </c>
      <c r="B33" s="31" t="n"/>
      <c r="C33" s="36" t="inlineStr">
        <is>
          <t>Itens avaliados</t>
        </is>
      </c>
      <c r="D33" s="33" t="n"/>
      <c r="E33" s="33" t="n"/>
      <c r="F33" s="33" t="n"/>
      <c r="G33" s="33" t="n"/>
      <c r="H33" s="33" t="n"/>
      <c r="I33" s="31" t="n"/>
      <c r="J33" s="36" t="inlineStr">
        <is>
          <t>Cotação atribuída</t>
        </is>
      </c>
      <c r="K33" s="31" t="n"/>
    </row>
    <row r="34" ht="12.75" customHeight="1" s="90">
      <c r="A34" s="36" t="n">
        <v>60</v>
      </c>
      <c r="B34" s="45" t="n"/>
      <c r="C34" s="32" t="inlineStr">
        <is>
          <t xml:space="preserve">Capacidade de expressão oral e de expressão corporal </t>
        </is>
      </c>
      <c r="D34" s="33" t="n"/>
      <c r="E34" s="33" t="n"/>
      <c r="F34" s="33" t="n"/>
      <c r="G34" s="33" t="n"/>
      <c r="H34" s="33" t="n"/>
      <c r="I34" s="31" t="n"/>
      <c r="J34" s="51">
        <f>'Avaliação'!O35*3</f>
        <v/>
      </c>
      <c r="K34" s="52" t="n"/>
    </row>
    <row r="35" ht="12.75" customHeight="1" s="90">
      <c r="A35" s="46" t="n"/>
      <c r="B35" s="47" t="n"/>
      <c r="C35" s="32" t="inlineStr">
        <is>
          <t>Capacidade de síntese</t>
        </is>
      </c>
      <c r="D35" s="33" t="n"/>
      <c r="E35" s="33" t="n"/>
      <c r="F35" s="33" t="n"/>
      <c r="G35" s="33" t="n"/>
      <c r="H35" s="33" t="n"/>
      <c r="I35" s="31" t="n"/>
      <c r="J35" s="53" t="n"/>
      <c r="K35" s="54" t="n"/>
    </row>
    <row r="36" ht="12.75" customHeight="1" s="90">
      <c r="A36" s="46" t="n"/>
      <c r="B36" s="47" t="n"/>
      <c r="C36" s="32" t="inlineStr">
        <is>
          <t>Qualidade dos recursos/estratégias utilizadas na apresentação</t>
        </is>
      </c>
      <c r="D36" s="33" t="n"/>
      <c r="E36" s="33" t="n"/>
      <c r="F36" s="33" t="n"/>
      <c r="G36" s="33" t="n"/>
      <c r="H36" s="33" t="n"/>
      <c r="I36" s="31" t="n"/>
      <c r="J36" s="53" t="n"/>
      <c r="K36" s="54" t="n"/>
      <c r="M36" s="10" t="n"/>
    </row>
    <row r="37" ht="12.75" customHeight="1" s="90">
      <c r="A37" s="48" t="n"/>
      <c r="B37" s="49" t="n"/>
      <c r="C37" s="32" t="inlineStr">
        <is>
          <t>Qualidade de argumentação na defesa do projeto</t>
        </is>
      </c>
      <c r="D37" s="33" t="n"/>
      <c r="E37" s="33" t="n"/>
      <c r="F37" s="33" t="n"/>
      <c r="G37" s="33" t="n"/>
      <c r="H37" s="33" t="n"/>
      <c r="I37" s="31" t="n"/>
      <c r="J37" s="55" t="n"/>
      <c r="K37" s="56" t="n"/>
    </row>
    <row r="38" ht="7.5" customHeight="1" s="90">
      <c r="A38" s="6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 ht="19.5" customHeight="1" s="90">
      <c r="A39" s="39">
        <f>SUM(A16,A26,A34)</f>
        <v/>
      </c>
      <c r="B39" s="31" t="n"/>
      <c r="C39" s="39" t="inlineStr">
        <is>
          <t>Avaliação Final</t>
        </is>
      </c>
      <c r="D39" s="33" t="n"/>
      <c r="E39" s="33" t="n"/>
      <c r="F39" s="33" t="n"/>
      <c r="G39" s="33" t="n"/>
      <c r="H39" s="33" t="n"/>
      <c r="I39" s="31" t="n"/>
      <c r="J39" s="30">
        <f>ROUND(SUM(J16,J26,J34),0)</f>
        <v/>
      </c>
      <c r="K39" s="31" t="n"/>
    </row>
    <row r="40" ht="7.5" customHeight="1" s="90">
      <c r="A40" s="4" t="n"/>
    </row>
    <row r="41" ht="12.75" customHeight="1" s="90">
      <c r="A41" s="40" t="inlineStr">
        <is>
          <t>Observações:</t>
        </is>
      </c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1" t="n"/>
    </row>
    <row r="42" ht="12.75" customHeight="1" s="90">
      <c r="A42" s="58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2" t="n"/>
    </row>
    <row r="43" ht="12.75" customHeight="1" s="90">
      <c r="A43" s="53" t="n"/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54" t="n"/>
    </row>
    <row r="44" ht="12.75" customHeight="1" s="90">
      <c r="A44" s="53" t="n"/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54" t="n"/>
    </row>
    <row r="45" ht="12.75" customHeight="1" s="90">
      <c r="A45" s="53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54" t="n"/>
    </row>
    <row r="46" ht="12.75" customHeight="1" s="90">
      <c r="A46" s="55" t="n"/>
      <c r="B46" s="60" t="n"/>
      <c r="C46" s="60" t="n"/>
      <c r="D46" s="60" t="n"/>
      <c r="E46" s="60" t="n"/>
      <c r="F46" s="60" t="n"/>
      <c r="G46" s="60" t="n"/>
      <c r="H46" s="60" t="n"/>
      <c r="I46" s="60" t="n"/>
      <c r="J46" s="60" t="n"/>
      <c r="K46" s="56" t="n"/>
    </row>
    <row r="47" ht="7.5" customHeight="1" s="90">
      <c r="A47" s="5" t="n"/>
    </row>
    <row r="48" ht="12.75" customHeight="1" s="90">
      <c r="B48" s="5" t="n"/>
      <c r="C48" s="44" t="inlineStr">
        <is>
          <t xml:space="preserve">Caldas da Rainha, </t>
        </is>
      </c>
      <c r="F48" s="5" t="n"/>
      <c r="G48" s="61">
        <f>NOW()</f>
        <v/>
      </c>
      <c r="J48" s="5" t="n"/>
      <c r="K48" s="5" t="n"/>
    </row>
    <row r="49" ht="7.5" customHeight="1" s="90">
      <c r="A49" s="5" t="n"/>
    </row>
    <row r="50" ht="12.75" customHeight="1" s="90">
      <c r="A50" s="5" t="n"/>
      <c r="E50" s="50" t="inlineStr">
        <is>
          <t>O Júri da Prova</t>
        </is>
      </c>
    </row>
    <row r="51" ht="7.5" customHeight="1" s="90">
      <c r="A51" s="5" t="n"/>
    </row>
    <row r="52" ht="12.75" customHeight="1" s="90">
      <c r="A52" s="35" t="inlineStr">
        <is>
          <t>Qualidade em que está nomeado</t>
        </is>
      </c>
      <c r="B52" s="33" t="n"/>
      <c r="C52" s="33" t="n"/>
      <c r="D52" s="33" t="n"/>
      <c r="E52" s="31" t="n"/>
      <c r="G52" s="35" t="inlineStr">
        <is>
          <t>Assinatura</t>
        </is>
      </c>
      <c r="H52" s="33" t="n"/>
      <c r="I52" s="33" t="n"/>
      <c r="J52" s="33" t="n"/>
      <c r="K52" s="31" t="n"/>
    </row>
    <row r="53" ht="22.5" customHeight="1" s="90">
      <c r="A53" s="32" t="inlineStr">
        <is>
          <t>Presidente do Júri</t>
        </is>
      </c>
      <c r="B53" s="33" t="n"/>
      <c r="C53" s="33" t="n"/>
      <c r="D53" s="33" t="n"/>
      <c r="E53" s="31" t="n"/>
      <c r="G53" s="34" t="n"/>
      <c r="H53" s="33" t="n"/>
      <c r="I53" s="33" t="n"/>
      <c r="J53" s="33" t="n"/>
      <c r="K53" s="31" t="n"/>
    </row>
    <row r="54" ht="22.5" customHeight="1" s="90">
      <c r="A54" s="32" t="inlineStr">
        <is>
          <t>Professor Orientador do Projeto</t>
        </is>
      </c>
      <c r="B54" s="33" t="n"/>
      <c r="C54" s="33" t="n"/>
      <c r="D54" s="33" t="n"/>
      <c r="E54" s="31" t="n"/>
      <c r="G54" s="34" t="n"/>
      <c r="H54" s="33" t="n"/>
      <c r="I54" s="33" t="n"/>
      <c r="J54" s="33" t="n"/>
      <c r="K54" s="31" t="n"/>
    </row>
    <row r="55" ht="22.5" customHeight="1" s="90">
      <c r="A55" s="32" t="inlineStr">
        <is>
          <t>Representante das Associações Empresariais</t>
        </is>
      </c>
      <c r="B55" s="33" t="n"/>
      <c r="C55" s="33" t="n"/>
      <c r="D55" s="33" t="n"/>
      <c r="E55" s="31" t="n"/>
      <c r="G55" s="34" t="n"/>
      <c r="H55" s="33" t="n"/>
      <c r="I55" s="33" t="n"/>
      <c r="J55" s="33" t="n"/>
      <c r="K55" s="31" t="n"/>
    </row>
    <row r="56" ht="22.5" customHeight="1" s="90">
      <c r="A56" s="32" t="inlineStr">
        <is>
          <t>Personalidade de reconhecido mérito</t>
        </is>
      </c>
      <c r="B56" s="33" t="n"/>
      <c r="C56" s="33" t="n"/>
      <c r="D56" s="33" t="n"/>
      <c r="E56" s="31" t="n"/>
      <c r="G56" s="34" t="n"/>
      <c r="H56" s="33" t="n"/>
      <c r="I56" s="33" t="n"/>
      <c r="J56" s="33" t="n"/>
      <c r="K56" s="31" t="n"/>
    </row>
  </sheetData>
  <mergeCells count="60">
    <mergeCell ref="J39:K39"/>
    <mergeCell ref="C36:I36"/>
    <mergeCell ref="G56:K56"/>
    <mergeCell ref="G52:K52"/>
    <mergeCell ref="A15:B15"/>
    <mergeCell ref="D9:J9"/>
    <mergeCell ref="C17:I17"/>
    <mergeCell ref="C39:I39"/>
    <mergeCell ref="D8:J8"/>
    <mergeCell ref="A24:K24"/>
    <mergeCell ref="A12:C12"/>
    <mergeCell ref="C19:I19"/>
    <mergeCell ref="C37:I37"/>
    <mergeCell ref="A6:K6"/>
    <mergeCell ref="C28:I28"/>
    <mergeCell ref="C18:I18"/>
    <mergeCell ref="A25:B25"/>
    <mergeCell ref="A54:E54"/>
    <mergeCell ref="A8:C8"/>
    <mergeCell ref="J15:K15"/>
    <mergeCell ref="A41:K41"/>
    <mergeCell ref="C34:I34"/>
    <mergeCell ref="C48:E48"/>
    <mergeCell ref="C30:I30"/>
    <mergeCell ref="G53:K53"/>
    <mergeCell ref="C15:I15"/>
    <mergeCell ref="C33:I33"/>
    <mergeCell ref="A56:E56"/>
    <mergeCell ref="A10:C10"/>
    <mergeCell ref="A55:E55"/>
    <mergeCell ref="A34:B37"/>
    <mergeCell ref="C26:I26"/>
    <mergeCell ref="A33:B33"/>
    <mergeCell ref="C35:I35"/>
    <mergeCell ref="J25:K25"/>
    <mergeCell ref="C20:I20"/>
    <mergeCell ref="E50:G50"/>
    <mergeCell ref="C29:I29"/>
    <mergeCell ref="C16:I16"/>
    <mergeCell ref="A32:K32"/>
    <mergeCell ref="A14:K14"/>
    <mergeCell ref="J26:K30"/>
    <mergeCell ref="C25:I25"/>
    <mergeCell ref="G55:K55"/>
    <mergeCell ref="A16:B22"/>
    <mergeCell ref="A53:E53"/>
    <mergeCell ref="C22:I22"/>
    <mergeCell ref="A11:C11"/>
    <mergeCell ref="A4:K4"/>
    <mergeCell ref="A52:E52"/>
    <mergeCell ref="J16:K22"/>
    <mergeCell ref="C21:I21"/>
    <mergeCell ref="J34:K37"/>
    <mergeCell ref="A26:B30"/>
    <mergeCell ref="A42:K46"/>
    <mergeCell ref="J33:K33"/>
    <mergeCell ref="G54:K54"/>
    <mergeCell ref="G48:I48"/>
    <mergeCell ref="C27:I27"/>
    <mergeCell ref="A39:B39"/>
  </mergeCells>
  <conditionalFormatting sqref="J16:K22 J34:K37">
    <cfRule type="cellIs" priority="2" operator="greaterThan" dxfId="0" stopIfTrue="1">
      <formula>$A$16</formula>
    </cfRule>
  </conditionalFormatting>
  <conditionalFormatting sqref="J26:K30">
    <cfRule type="cellIs" priority="1" operator="greaterThan" dxfId="0" stopIfTrue="1">
      <formula>$A$26</formula>
    </cfRule>
  </conditionalFormatting>
  <conditionalFormatting sqref="J39:K39">
    <cfRule type="cellIs" priority="4" operator="greaterThan" dxfId="0" stopIfTrue="1">
      <formula>200</formula>
    </cfRule>
  </conditionalFormatting>
  <dataValidations count="3">
    <dataValidation sqref="D10" showDropDown="0" showInputMessage="0" showErrorMessage="0" allowBlank="1" errorTitle="Valor inválido" error="Seleccione um valor da lista." type="list">
      <formula1>='Auxiliar'!$B$6:$B$8</formula1>
    </dataValidation>
    <dataValidation sqref="D12" showDropDown="0" showInputMessage="0" showErrorMessage="0" allowBlank="1" errorTitle="Valor inválido" error="Seleccione um valor da lista." type="list">
      <formula1>='Auxiliar'!$D$6:$D$8</formula1>
    </dataValidation>
    <dataValidation sqref="D11" showDropDown="0" showInputMessage="0" showErrorMessage="0" allowBlank="1" errorTitle="Valor inválido" error="Seleccione um valor da lista." type="list">
      <formula1>='Auxiliar'!$B$16:$B$18</formula1>
    </dataValidation>
  </dataValidations>
  <printOptions horizontalCentered="1"/>
  <pageMargins left="0.984251968503937" right="0.5905511811023623" top="0.5905511811023623" bottom="0.5905511811023623" header="0" footer="0"/>
  <pageSetup orientation="portrait" paperSize="9" scale="94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2:M56"/>
  <sheetViews>
    <sheetView zoomScale="150" workbookViewId="0">
      <selection activeCell="B57" sqref="B57"/>
    </sheetView>
  </sheetViews>
  <sheetFormatPr baseColWidth="8" defaultColWidth="9.140625" defaultRowHeight="12.75" customHeight="1"/>
  <cols>
    <col width="8.5703125" customWidth="1" style="42" min="1" max="5"/>
    <col width="2" customWidth="1" style="42" min="6" max="6"/>
    <col width="8.5703125" customWidth="1" style="42" min="7" max="11"/>
    <col width="9.140625" customWidth="1" style="42" min="12" max="16"/>
    <col width="9.140625" customWidth="1" style="42" min="17" max="16384"/>
  </cols>
  <sheetData>
    <row r="2" ht="16.9" customHeight="1" s="90">
      <c r="B2" s="9" t="n"/>
      <c r="C2" s="9" t="n"/>
      <c r="D2" s="9" t="inlineStr">
        <is>
          <t>Agrupamento de Escolas Raul Proença</t>
        </is>
      </c>
      <c r="E2" s="9" t="n"/>
      <c r="F2" s="9" t="n"/>
      <c r="G2" s="9" t="n"/>
      <c r="H2" s="9" t="n"/>
      <c r="I2" s="9" t="n"/>
      <c r="J2" s="9" t="n"/>
      <c r="K2" s="9" t="n"/>
    </row>
    <row r="4" ht="15" customHeight="1" s="90">
      <c r="A4" s="57" t="inlineStr">
        <is>
          <t>Ano letivo 2025/2026</t>
        </is>
      </c>
    </row>
    <row r="5" ht="7.5" customHeight="1" s="90">
      <c r="A5" s="2" t="n"/>
    </row>
    <row r="6" ht="15" customHeight="1" s="90">
      <c r="A6" s="43" t="inlineStr">
        <is>
          <t>Ata de Avaliação da Prova de Aptidão Profissional</t>
        </is>
      </c>
    </row>
    <row r="7" ht="12.75" customHeight="1" s="90">
      <c r="A7" s="3" t="n"/>
    </row>
    <row r="8" ht="12.75" customHeight="1" s="90">
      <c r="A8" s="41" t="inlineStr">
        <is>
          <t>Aluno:</t>
        </is>
      </c>
      <c r="D8" s="96" t="inlineStr">
        <is>
          <t>Duarte Nazaré Fialho</t>
        </is>
      </c>
      <c r="E8" s="38" t="n"/>
      <c r="F8" s="38" t="n"/>
      <c r="G8" s="38" t="n"/>
      <c r="H8" s="38" t="n"/>
      <c r="I8" s="38" t="n"/>
      <c r="J8" s="38" t="n"/>
      <c r="K8" s="7" t="n"/>
    </row>
    <row r="9" ht="12.75" customHeight="1" s="90">
      <c r="A9" s="41" t="n"/>
      <c r="B9" s="41" t="n"/>
      <c r="C9" s="41" t="inlineStr">
        <is>
          <t>Tema:</t>
        </is>
      </c>
      <c r="D9" s="96" t="inlineStr">
        <is>
          <t>SayPlay - Plataforma Educativa para Apoio ao Desenvolvimento da Fala Infantil</t>
        </is>
      </c>
      <c r="E9" s="38" t="n"/>
      <c r="F9" s="38" t="n"/>
      <c r="G9" s="38" t="n"/>
      <c r="H9" s="38" t="n"/>
      <c r="I9" s="38" t="n"/>
      <c r="J9" s="38" t="n"/>
      <c r="K9" s="7" t="n"/>
    </row>
    <row r="10" ht="18" customHeight="1" s="90">
      <c r="A10" s="41" t="inlineStr">
        <is>
          <t>Área de Formação:</t>
        </is>
      </c>
      <c r="D10" s="95" t="inlineStr">
        <is>
          <t>Ciências Informáticas (481)</t>
        </is>
      </c>
      <c r="E10" s="95" t="n"/>
      <c r="F10" s="95" t="n"/>
      <c r="G10" s="95" t="n"/>
      <c r="H10" s="95" t="n"/>
      <c r="I10" s="95" t="n"/>
      <c r="J10" s="95" t="n"/>
      <c r="K10" s="7" t="n"/>
    </row>
    <row r="11" ht="18.75" customHeight="1" s="90">
      <c r="A11" s="41" t="inlineStr">
        <is>
          <t>Curso Profissional:</t>
        </is>
      </c>
      <c r="D11" s="95" t="inlineStr">
        <is>
          <t>Técnico de Gestão e Programação de Sistemas Informáticos</t>
        </is>
      </c>
      <c r="E11" s="95" t="n"/>
      <c r="F11" s="95" t="n"/>
      <c r="G11" s="95" t="n"/>
      <c r="H11" s="95" t="n"/>
      <c r="I11" s="95" t="n"/>
      <c r="J11" s="95" t="n"/>
      <c r="K11" s="7" t="n"/>
    </row>
    <row r="12" ht="18" customHeight="1" s="90">
      <c r="A12" s="41" t="inlineStr">
        <is>
          <t>Saída Profissional:</t>
        </is>
      </c>
      <c r="D12" s="95" t="inlineStr">
        <is>
          <t>Técnico de Gestão e Programação de Sistemas Informáticos</t>
        </is>
      </c>
      <c r="E12" s="95" t="n"/>
      <c r="F12" s="95" t="n"/>
      <c r="G12" s="95" t="n"/>
      <c r="H12" s="95" t="n"/>
      <c r="I12" s="95" t="n"/>
      <c r="J12" s="95" t="n"/>
      <c r="K12" s="7" t="n"/>
    </row>
    <row r="13" ht="7.5" customHeight="1" s="90">
      <c r="A13" s="3" t="n"/>
    </row>
    <row r="14" ht="15" customHeight="1" s="90">
      <c r="A14" s="40" t="inlineStr">
        <is>
          <t>A – Desenvolvimento do Projeto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1" t="n"/>
    </row>
    <row r="15" ht="15" customHeight="1" s="90">
      <c r="A15" s="36" t="inlineStr">
        <is>
          <t>Cotação máxima</t>
        </is>
      </c>
      <c r="B15" s="31" t="n"/>
      <c r="C15" s="36" t="inlineStr">
        <is>
          <t>Itens avaliados</t>
        </is>
      </c>
      <c r="D15" s="33" t="n"/>
      <c r="E15" s="33" t="n"/>
      <c r="F15" s="33" t="n"/>
      <c r="G15" s="33" t="n"/>
      <c r="H15" s="33" t="n"/>
      <c r="I15" s="31" t="n"/>
      <c r="J15" s="36" t="inlineStr">
        <is>
          <t>Cotação atribuída</t>
        </is>
      </c>
      <c r="K15" s="31" t="n"/>
    </row>
    <row r="16" ht="12.75" customHeight="1" s="90">
      <c r="A16" s="36" t="n">
        <v>100</v>
      </c>
      <c r="B16" s="45" t="n"/>
      <c r="C16" s="32" t="inlineStr">
        <is>
          <t>Definição dos objectivos do projeto</t>
        </is>
      </c>
      <c r="D16" s="33" t="n"/>
      <c r="E16" s="33" t="n"/>
      <c r="F16" s="33" t="n"/>
      <c r="G16" s="33" t="n"/>
      <c r="H16" s="33" t="n"/>
      <c r="I16" s="31" t="n"/>
      <c r="J16" s="51">
        <f>'Avaliação'!P22*5</f>
        <v/>
      </c>
      <c r="K16" s="52" t="n"/>
    </row>
    <row r="17" ht="12.75" customHeight="1" s="90">
      <c r="A17" s="46" t="n"/>
      <c r="B17" s="47" t="n"/>
      <c r="C17" s="32" t="inlineStr">
        <is>
          <t>Qualidade científica e técnica</t>
        </is>
      </c>
      <c r="D17" s="33" t="n"/>
      <c r="E17" s="33" t="n"/>
      <c r="F17" s="33" t="n"/>
      <c r="G17" s="33" t="n"/>
      <c r="H17" s="33" t="n"/>
      <c r="I17" s="31" t="n"/>
      <c r="J17" s="53" t="n"/>
      <c r="K17" s="54" t="n"/>
    </row>
    <row r="18" ht="12.75" customHeight="1" s="90">
      <c r="A18" s="46" t="n"/>
      <c r="B18" s="47" t="n"/>
      <c r="C18" s="32" t="inlineStr">
        <is>
          <t>Pertinência, criatividade e inovação</t>
        </is>
      </c>
      <c r="D18" s="33" t="n"/>
      <c r="E18" s="33" t="n"/>
      <c r="F18" s="33" t="n"/>
      <c r="G18" s="33" t="n"/>
      <c r="H18" s="33" t="n"/>
      <c r="I18" s="31" t="n"/>
      <c r="J18" s="53" t="n"/>
      <c r="K18" s="54" t="n"/>
      <c r="M18" s="10" t="n"/>
    </row>
    <row r="19" ht="12.75" customHeight="1" s="90">
      <c r="A19" s="46" t="n"/>
      <c r="B19" s="47" t="n"/>
      <c r="C19" s="32" t="inlineStr">
        <is>
          <t>Planeamento dos recursos necessários</t>
        </is>
      </c>
      <c r="D19" s="33" t="n"/>
      <c r="E19" s="33" t="n"/>
      <c r="F19" s="33" t="n"/>
      <c r="G19" s="33" t="n"/>
      <c r="H19" s="33" t="n"/>
      <c r="I19" s="31" t="n"/>
      <c r="J19" s="53" t="n"/>
      <c r="K19" s="54" t="n"/>
    </row>
    <row r="20" ht="12.75" customHeight="1" s="90">
      <c r="A20" s="46" t="n"/>
      <c r="B20" s="47" t="n"/>
      <c r="C20" s="32" t="inlineStr">
        <is>
          <t>Definição das fases de execução do projeto</t>
        </is>
      </c>
      <c r="D20" s="33" t="n"/>
      <c r="E20" s="33" t="n"/>
      <c r="F20" s="33" t="n"/>
      <c r="G20" s="33" t="n"/>
      <c r="H20" s="33" t="n"/>
      <c r="I20" s="31" t="n"/>
      <c r="J20" s="53" t="n"/>
      <c r="K20" s="54" t="n"/>
    </row>
    <row r="21" ht="12.75" customHeight="1" s="90">
      <c r="A21" s="46" t="n"/>
      <c r="B21" s="47" t="n"/>
      <c r="C21" s="32" t="inlineStr">
        <is>
          <t>Autonomia</t>
        </is>
      </c>
      <c r="D21" s="33" t="n"/>
      <c r="E21" s="33" t="n"/>
      <c r="F21" s="33" t="n"/>
      <c r="G21" s="33" t="n"/>
      <c r="H21" s="33" t="n"/>
      <c r="I21" s="31" t="n"/>
      <c r="J21" s="53" t="n"/>
      <c r="K21" s="54" t="n"/>
    </row>
    <row r="22" ht="12.75" customHeight="1" s="90">
      <c r="A22" s="48" t="n"/>
      <c r="B22" s="49" t="n"/>
      <c r="C22" s="32" t="inlineStr">
        <is>
          <t>Sentido de responsabilidade e gestão do tempo</t>
        </is>
      </c>
      <c r="D22" s="33" t="n"/>
      <c r="E22" s="33" t="n"/>
      <c r="F22" s="33" t="n"/>
      <c r="G22" s="33" t="n"/>
      <c r="H22" s="33" t="n"/>
      <c r="I22" s="31" t="n"/>
      <c r="J22" s="55" t="n"/>
      <c r="K22" s="56" t="n"/>
    </row>
    <row r="23" ht="7.5" customHeight="1" s="90">
      <c r="A23" s="4" t="n"/>
    </row>
    <row r="24" ht="15" customHeight="1" s="90">
      <c r="A24" s="40" t="inlineStr">
        <is>
          <t>B – Relatório final</t>
        </is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1" t="n"/>
    </row>
    <row r="25" ht="15" customHeight="1" s="90">
      <c r="A25" s="36" t="inlineStr">
        <is>
          <t>Cotação máxima</t>
        </is>
      </c>
      <c r="B25" s="31" t="n"/>
      <c r="C25" s="36" t="inlineStr">
        <is>
          <t>Itens avaliados</t>
        </is>
      </c>
      <c r="D25" s="33" t="n"/>
      <c r="E25" s="33" t="n"/>
      <c r="F25" s="33" t="n"/>
      <c r="G25" s="33" t="n"/>
      <c r="H25" s="33" t="n"/>
      <c r="I25" s="31" t="n"/>
      <c r="J25" s="36" t="inlineStr">
        <is>
          <t>Cotação atribuída</t>
        </is>
      </c>
      <c r="K25" s="31" t="n"/>
    </row>
    <row r="26" ht="12.75" customHeight="1" s="90">
      <c r="A26" s="36" t="n">
        <v>40</v>
      </c>
      <c r="B26" s="45" t="n"/>
      <c r="C26" s="32" t="inlineStr">
        <is>
          <t>Objetividade</t>
        </is>
      </c>
      <c r="D26" s="33" t="n"/>
      <c r="E26" s="33" t="n"/>
      <c r="F26" s="33" t="n"/>
      <c r="G26" s="33" t="n"/>
      <c r="H26" s="33" t="n"/>
      <c r="I26" s="31" t="n"/>
      <c r="J26" s="51">
        <f>'Avaliação'!P29*2</f>
        <v/>
      </c>
      <c r="K26" s="52" t="n"/>
    </row>
    <row r="27" ht="12.75" customHeight="1" s="90">
      <c r="A27" s="46" t="n"/>
      <c r="B27" s="47" t="n"/>
      <c r="C27" s="32" t="inlineStr">
        <is>
          <t>Pertinência das informações</t>
        </is>
      </c>
      <c r="D27" s="33" t="n"/>
      <c r="E27" s="33" t="n"/>
      <c r="F27" s="33" t="n"/>
      <c r="G27" s="33" t="n"/>
      <c r="H27" s="33" t="n"/>
      <c r="I27" s="31" t="n"/>
      <c r="J27" s="53" t="n"/>
      <c r="K27" s="54" t="n"/>
      <c r="M27" s="10" t="n"/>
    </row>
    <row r="28" ht="12.75" customHeight="1" s="90">
      <c r="A28" s="46" t="n"/>
      <c r="B28" s="47" t="n"/>
      <c r="C28" s="32" t="inlineStr">
        <is>
          <t>Identificação das dificuldades e meios de as superar</t>
        </is>
      </c>
      <c r="D28" s="33" t="n"/>
      <c r="E28" s="33" t="n"/>
      <c r="F28" s="33" t="n"/>
      <c r="G28" s="33" t="n"/>
      <c r="H28" s="33" t="n"/>
      <c r="I28" s="31" t="n"/>
      <c r="J28" s="53" t="n"/>
      <c r="K28" s="54" t="n"/>
    </row>
    <row r="29" ht="12.75" customHeight="1" s="90">
      <c r="A29" s="46" t="n"/>
      <c r="B29" s="47" t="n"/>
      <c r="C29" s="32" t="inlineStr">
        <is>
          <t>Capacidade de análise crítica</t>
        </is>
      </c>
      <c r="D29" s="33" t="n"/>
      <c r="E29" s="33" t="n"/>
      <c r="F29" s="33" t="n"/>
      <c r="G29" s="33" t="n"/>
      <c r="H29" s="33" t="n"/>
      <c r="I29" s="31" t="n"/>
      <c r="J29" s="53" t="n"/>
      <c r="K29" s="54" t="n"/>
    </row>
    <row r="30" ht="12.75" customHeight="1" s="90">
      <c r="A30" s="48" t="n"/>
      <c r="B30" s="49" t="n"/>
      <c r="C30" s="32" t="inlineStr">
        <is>
          <t>Sentido de responsabilidade e gestão do tempo</t>
        </is>
      </c>
      <c r="D30" s="33" t="n"/>
      <c r="E30" s="33" t="n"/>
      <c r="F30" s="33" t="n"/>
      <c r="G30" s="33" t="n"/>
      <c r="H30" s="33" t="n"/>
      <c r="I30" s="31" t="n"/>
      <c r="J30" s="55" t="n"/>
      <c r="K30" s="56" t="n"/>
    </row>
    <row r="31" ht="7.5" customHeight="1" s="90">
      <c r="A31" s="4" t="n"/>
    </row>
    <row r="32" ht="15" customHeight="1" s="90">
      <c r="A32" s="40" t="inlineStr">
        <is>
          <t>C – Apresentação e Defesa do Projecto</t>
        </is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1" t="n"/>
    </row>
    <row r="33" ht="15" customHeight="1" s="90">
      <c r="A33" s="36" t="inlineStr">
        <is>
          <t>Cotação máxima</t>
        </is>
      </c>
      <c r="B33" s="31" t="n"/>
      <c r="C33" s="36" t="inlineStr">
        <is>
          <t>Itens avaliados</t>
        </is>
      </c>
      <c r="D33" s="33" t="n"/>
      <c r="E33" s="33" t="n"/>
      <c r="F33" s="33" t="n"/>
      <c r="G33" s="33" t="n"/>
      <c r="H33" s="33" t="n"/>
      <c r="I33" s="31" t="n"/>
      <c r="J33" s="36" t="inlineStr">
        <is>
          <t>Cotação atribuída</t>
        </is>
      </c>
      <c r="K33" s="31" t="n"/>
    </row>
    <row r="34" ht="12.75" customHeight="1" s="90">
      <c r="A34" s="36" t="n">
        <v>60</v>
      </c>
      <c r="B34" s="45" t="n"/>
      <c r="C34" s="32" t="inlineStr">
        <is>
          <t xml:space="preserve">Capacidade de expressão oral e de expressão corporal </t>
        </is>
      </c>
      <c r="D34" s="33" t="n"/>
      <c r="E34" s="33" t="n"/>
      <c r="F34" s="33" t="n"/>
      <c r="G34" s="33" t="n"/>
      <c r="H34" s="33" t="n"/>
      <c r="I34" s="31" t="n"/>
      <c r="J34" s="51">
        <f>'Avaliação'!P35*3</f>
        <v/>
      </c>
      <c r="K34" s="52" t="n"/>
    </row>
    <row r="35" ht="12.75" customHeight="1" s="90">
      <c r="A35" s="46" t="n"/>
      <c r="B35" s="47" t="n"/>
      <c r="C35" s="32" t="inlineStr">
        <is>
          <t>Capacidade de síntese</t>
        </is>
      </c>
      <c r="D35" s="33" t="n"/>
      <c r="E35" s="33" t="n"/>
      <c r="F35" s="33" t="n"/>
      <c r="G35" s="33" t="n"/>
      <c r="H35" s="33" t="n"/>
      <c r="I35" s="31" t="n"/>
      <c r="J35" s="53" t="n"/>
      <c r="K35" s="54" t="n"/>
    </row>
    <row r="36" ht="12.75" customHeight="1" s="90">
      <c r="A36" s="46" t="n"/>
      <c r="B36" s="47" t="n"/>
      <c r="C36" s="32" t="inlineStr">
        <is>
          <t>Qualidade dos recursos/estratégias utilizadas na apresentação</t>
        </is>
      </c>
      <c r="D36" s="33" t="n"/>
      <c r="E36" s="33" t="n"/>
      <c r="F36" s="33" t="n"/>
      <c r="G36" s="33" t="n"/>
      <c r="H36" s="33" t="n"/>
      <c r="I36" s="31" t="n"/>
      <c r="J36" s="53" t="n"/>
      <c r="K36" s="54" t="n"/>
      <c r="M36" s="10" t="n"/>
    </row>
    <row r="37" ht="12.75" customHeight="1" s="90">
      <c r="A37" s="48" t="n"/>
      <c r="B37" s="49" t="n"/>
      <c r="C37" s="32" t="inlineStr">
        <is>
          <t>Qualidade de argumentação na defesa do projeto</t>
        </is>
      </c>
      <c r="D37" s="33" t="n"/>
      <c r="E37" s="33" t="n"/>
      <c r="F37" s="33" t="n"/>
      <c r="G37" s="33" t="n"/>
      <c r="H37" s="33" t="n"/>
      <c r="I37" s="31" t="n"/>
      <c r="J37" s="55" t="n"/>
      <c r="K37" s="56" t="n"/>
    </row>
    <row r="38" ht="7.5" customHeight="1" s="90">
      <c r="A38" s="6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 ht="19.5" customHeight="1" s="90">
      <c r="A39" s="39">
        <f>SUM(A16,A26,A34)</f>
        <v/>
      </c>
      <c r="B39" s="31" t="n"/>
      <c r="C39" s="39" t="inlineStr">
        <is>
          <t>Avaliação Final</t>
        </is>
      </c>
      <c r="D39" s="33" t="n"/>
      <c r="E39" s="33" t="n"/>
      <c r="F39" s="33" t="n"/>
      <c r="G39" s="33" t="n"/>
      <c r="H39" s="33" t="n"/>
      <c r="I39" s="31" t="n"/>
      <c r="J39" s="30">
        <f>ROUND(SUM(J16,J26,J34),0)</f>
        <v/>
      </c>
      <c r="K39" s="31" t="n"/>
    </row>
    <row r="40" ht="7.5" customHeight="1" s="90">
      <c r="A40" s="4" t="n"/>
    </row>
    <row r="41" ht="12.75" customHeight="1" s="90">
      <c r="A41" s="40" t="inlineStr">
        <is>
          <t>Observações:</t>
        </is>
      </c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1" t="n"/>
    </row>
    <row r="42" ht="12.75" customHeight="1" s="90">
      <c r="A42" s="58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2" t="n"/>
    </row>
    <row r="43" ht="12.75" customHeight="1" s="90">
      <c r="A43" s="53" t="n"/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54" t="n"/>
    </row>
    <row r="44" ht="12.75" customHeight="1" s="90">
      <c r="A44" s="53" t="n"/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54" t="n"/>
    </row>
    <row r="45" ht="12.75" customHeight="1" s="90">
      <c r="A45" s="53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54" t="n"/>
    </row>
    <row r="46" ht="12.75" customHeight="1" s="90">
      <c r="A46" s="55" t="n"/>
      <c r="B46" s="60" t="n"/>
      <c r="C46" s="60" t="n"/>
      <c r="D46" s="60" t="n"/>
      <c r="E46" s="60" t="n"/>
      <c r="F46" s="60" t="n"/>
      <c r="G46" s="60" t="n"/>
      <c r="H46" s="60" t="n"/>
      <c r="I46" s="60" t="n"/>
      <c r="J46" s="60" t="n"/>
      <c r="K46" s="56" t="n"/>
    </row>
    <row r="47" ht="7.5" customHeight="1" s="90">
      <c r="A47" s="5" t="n"/>
    </row>
    <row r="48" ht="12.75" customHeight="1" s="90">
      <c r="B48" s="5" t="n"/>
      <c r="C48" s="44" t="inlineStr">
        <is>
          <t xml:space="preserve">Caldas da Rainha, </t>
        </is>
      </c>
      <c r="F48" s="5" t="n"/>
      <c r="G48" s="61">
        <f>NOW()</f>
        <v/>
      </c>
      <c r="J48" s="5" t="n"/>
      <c r="K48" s="5" t="n"/>
    </row>
    <row r="49" ht="7.5" customHeight="1" s="90">
      <c r="A49" s="5" t="n"/>
    </row>
    <row r="50" ht="12.75" customHeight="1" s="90">
      <c r="A50" s="5" t="n"/>
      <c r="E50" s="50" t="inlineStr">
        <is>
          <t>O Júri da Prova</t>
        </is>
      </c>
    </row>
    <row r="51" ht="7.5" customHeight="1" s="90">
      <c r="A51" s="5" t="n"/>
    </row>
    <row r="52" ht="12.75" customHeight="1" s="90">
      <c r="A52" s="35" t="inlineStr">
        <is>
          <t>Qualidade em que está nomeado</t>
        </is>
      </c>
      <c r="B52" s="33" t="n"/>
      <c r="C52" s="33" t="n"/>
      <c r="D52" s="33" t="n"/>
      <c r="E52" s="31" t="n"/>
      <c r="G52" s="35" t="inlineStr">
        <is>
          <t>Assinatura</t>
        </is>
      </c>
      <c r="H52" s="33" t="n"/>
      <c r="I52" s="33" t="n"/>
      <c r="J52" s="33" t="n"/>
      <c r="K52" s="31" t="n"/>
    </row>
    <row r="53" ht="22.5" customHeight="1" s="90">
      <c r="A53" s="32" t="inlineStr">
        <is>
          <t>Presidente do Júri</t>
        </is>
      </c>
      <c r="B53" s="33" t="n"/>
      <c r="C53" s="33" t="n"/>
      <c r="D53" s="33" t="n"/>
      <c r="E53" s="31" t="n"/>
      <c r="G53" s="34" t="n"/>
      <c r="H53" s="33" t="n"/>
      <c r="I53" s="33" t="n"/>
      <c r="J53" s="33" t="n"/>
      <c r="K53" s="31" t="n"/>
    </row>
    <row r="54" ht="22.5" customHeight="1" s="90">
      <c r="A54" s="32" t="inlineStr">
        <is>
          <t>Professor Orientador do Projeto</t>
        </is>
      </c>
      <c r="B54" s="33" t="n"/>
      <c r="C54" s="33" t="n"/>
      <c r="D54" s="33" t="n"/>
      <c r="E54" s="31" t="n"/>
      <c r="G54" s="34" t="n"/>
      <c r="H54" s="33" t="n"/>
      <c r="I54" s="33" t="n"/>
      <c r="J54" s="33" t="n"/>
      <c r="K54" s="31" t="n"/>
    </row>
    <row r="55" ht="22.5" customHeight="1" s="90">
      <c r="A55" s="32" t="inlineStr">
        <is>
          <t>Representante das Associações Empresariais</t>
        </is>
      </c>
      <c r="B55" s="33" t="n"/>
      <c r="C55" s="33" t="n"/>
      <c r="D55" s="33" t="n"/>
      <c r="E55" s="31" t="n"/>
      <c r="G55" s="34" t="n"/>
      <c r="H55" s="33" t="n"/>
      <c r="I55" s="33" t="n"/>
      <c r="J55" s="33" t="n"/>
      <c r="K55" s="31" t="n"/>
    </row>
    <row r="56" ht="22.5" customHeight="1" s="90">
      <c r="A56" s="32" t="inlineStr">
        <is>
          <t>Personalidade de reconhecido mérito</t>
        </is>
      </c>
      <c r="B56" s="33" t="n"/>
      <c r="C56" s="33" t="n"/>
      <c r="D56" s="33" t="n"/>
      <c r="E56" s="31" t="n"/>
      <c r="G56" s="34" t="n"/>
      <c r="H56" s="33" t="n"/>
      <c r="I56" s="33" t="n"/>
      <c r="J56" s="33" t="n"/>
      <c r="K56" s="31" t="n"/>
    </row>
  </sheetData>
  <mergeCells count="60">
    <mergeCell ref="J39:K39"/>
    <mergeCell ref="C36:I36"/>
    <mergeCell ref="G56:K56"/>
    <mergeCell ref="G52:K52"/>
    <mergeCell ref="A15:B15"/>
    <mergeCell ref="D9:J9"/>
    <mergeCell ref="C17:I17"/>
    <mergeCell ref="C39:I39"/>
    <mergeCell ref="D8:J8"/>
    <mergeCell ref="A24:K24"/>
    <mergeCell ref="A12:C12"/>
    <mergeCell ref="C19:I19"/>
    <mergeCell ref="C37:I37"/>
    <mergeCell ref="A6:K6"/>
    <mergeCell ref="C28:I28"/>
    <mergeCell ref="C18:I18"/>
    <mergeCell ref="A25:B25"/>
    <mergeCell ref="A54:E54"/>
    <mergeCell ref="A8:C8"/>
    <mergeCell ref="J15:K15"/>
    <mergeCell ref="A41:K41"/>
    <mergeCell ref="C34:I34"/>
    <mergeCell ref="C48:E48"/>
    <mergeCell ref="C30:I30"/>
    <mergeCell ref="G53:K53"/>
    <mergeCell ref="C15:I15"/>
    <mergeCell ref="C33:I33"/>
    <mergeCell ref="A56:E56"/>
    <mergeCell ref="A10:C10"/>
    <mergeCell ref="A55:E55"/>
    <mergeCell ref="A34:B37"/>
    <mergeCell ref="C26:I26"/>
    <mergeCell ref="A33:B33"/>
    <mergeCell ref="C35:I35"/>
    <mergeCell ref="J25:K25"/>
    <mergeCell ref="C20:I20"/>
    <mergeCell ref="E50:G50"/>
    <mergeCell ref="C29:I29"/>
    <mergeCell ref="C16:I16"/>
    <mergeCell ref="A32:K32"/>
    <mergeCell ref="A14:K14"/>
    <mergeCell ref="J26:K30"/>
    <mergeCell ref="C25:I25"/>
    <mergeCell ref="G55:K55"/>
    <mergeCell ref="A16:B22"/>
    <mergeCell ref="A53:E53"/>
    <mergeCell ref="C22:I22"/>
    <mergeCell ref="A11:C11"/>
    <mergeCell ref="A4:K4"/>
    <mergeCell ref="A52:E52"/>
    <mergeCell ref="J16:K22"/>
    <mergeCell ref="C21:I21"/>
    <mergeCell ref="J34:K37"/>
    <mergeCell ref="A26:B30"/>
    <mergeCell ref="A42:K46"/>
    <mergeCell ref="J33:K33"/>
    <mergeCell ref="G54:K54"/>
    <mergeCell ref="G48:I48"/>
    <mergeCell ref="C27:I27"/>
    <mergeCell ref="A39:B39"/>
  </mergeCells>
  <conditionalFormatting sqref="J16:K22 J34:K37">
    <cfRule type="cellIs" priority="1" operator="greaterThan" dxfId="0" stopIfTrue="1">
      <formula>$A$16</formula>
    </cfRule>
  </conditionalFormatting>
  <conditionalFormatting sqref="J26:K30">
    <cfRule type="cellIs" priority="2" operator="greaterThan" dxfId="0" stopIfTrue="1">
      <formula>$A$26</formula>
    </cfRule>
  </conditionalFormatting>
  <conditionalFormatting sqref="J39:K39">
    <cfRule type="cellIs" priority="3" operator="greaterThan" dxfId="0" stopIfTrue="1">
      <formula>200</formula>
    </cfRule>
  </conditionalFormatting>
  <dataValidations count="3">
    <dataValidation sqref="D10" showDropDown="0" showInputMessage="0" showErrorMessage="0" allowBlank="1" errorTitle="Valor inválido" error="Seleccione um valor da lista." type="list">
      <formula1>='Auxiliar'!$B$6:$B$8</formula1>
    </dataValidation>
    <dataValidation sqref="D12" showDropDown="0" showInputMessage="0" showErrorMessage="0" allowBlank="1" errorTitle="Valor inválido" error="Seleccione um valor da lista." type="list">
      <formula1>='Auxiliar'!$D$6:$D$8</formula1>
    </dataValidation>
    <dataValidation sqref="D11" showDropDown="0" showInputMessage="0" showErrorMessage="0" allowBlank="1" errorTitle="Valor inválido" error="Seleccione um valor da lista." type="list">
      <formula1>='Auxiliar'!$B$16:$B$18</formula1>
    </dataValidation>
  </dataValidations>
  <printOptions horizontalCentered="1"/>
  <pageMargins left="0.984251968503937" right="0.5905511811023623" top="0.5905511811023623" bottom="0.5905511811023623" header="0" footer="0"/>
  <pageSetup orientation="portrait" paperSize="9" scale="9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2:M56"/>
  <sheetViews>
    <sheetView zoomScale="150" workbookViewId="0">
      <selection activeCell="B57" sqref="B57"/>
    </sheetView>
  </sheetViews>
  <sheetFormatPr baseColWidth="8" defaultColWidth="9.140625" defaultRowHeight="12.75" customHeight="1"/>
  <cols>
    <col width="8.5703125" customWidth="1" style="42" min="1" max="5"/>
    <col width="2" customWidth="1" style="42" min="6" max="6"/>
    <col width="8.5703125" customWidth="1" style="42" min="7" max="11"/>
    <col width="9.140625" customWidth="1" style="42" min="12" max="16"/>
    <col width="9.140625" customWidth="1" style="42" min="17" max="16384"/>
  </cols>
  <sheetData>
    <row r="2" ht="16.9" customHeight="1" s="90">
      <c r="B2" s="9" t="n"/>
      <c r="C2" s="9" t="n"/>
      <c r="D2" s="9" t="inlineStr">
        <is>
          <t>Agrupamento de Escolas Raul Proença</t>
        </is>
      </c>
      <c r="E2" s="9" t="n"/>
      <c r="F2" s="9" t="n"/>
      <c r="G2" s="9" t="n"/>
      <c r="H2" s="9" t="n"/>
      <c r="I2" s="9" t="n"/>
      <c r="J2" s="9" t="n"/>
      <c r="K2" s="9" t="n"/>
    </row>
    <row r="4" ht="15" customHeight="1" s="90">
      <c r="A4" s="57" t="inlineStr">
        <is>
          <t>Ano letivo 2025/2026</t>
        </is>
      </c>
    </row>
    <row r="5" ht="7.5" customHeight="1" s="90">
      <c r="A5" s="2" t="n"/>
    </row>
    <row r="6" ht="15" customHeight="1" s="90">
      <c r="A6" s="43" t="inlineStr">
        <is>
          <t>Ata de Avaliação da Prova de Aptidão Profissional</t>
        </is>
      </c>
    </row>
    <row r="7" ht="12.75" customHeight="1" s="90">
      <c r="A7" s="3" t="n"/>
    </row>
    <row r="8" ht="12.75" customHeight="1" s="90">
      <c r="A8" s="41" t="inlineStr">
        <is>
          <t>Aluno:</t>
        </is>
      </c>
      <c r="D8" s="96" t="inlineStr">
        <is>
          <t>Filipe Alexandre Inácio Monteiro</t>
        </is>
      </c>
      <c r="E8" s="38" t="n"/>
      <c r="F8" s="38" t="n"/>
      <c r="G8" s="38" t="n"/>
      <c r="H8" s="38" t="n"/>
      <c r="I8" s="38" t="n"/>
      <c r="J8" s="38" t="n"/>
      <c r="K8" s="7" t="n"/>
    </row>
    <row r="9" ht="12.75" customHeight="1" s="90">
      <c r="A9" s="41" t="n"/>
      <c r="B9" s="41" t="n"/>
      <c r="C9" s="41" t="inlineStr">
        <is>
          <t>Tema:</t>
        </is>
      </c>
      <c r="D9" s="96" t="inlineStr">
        <is>
          <t>Bloodware - Jogo FPS 3D Baseado em Missões</t>
        </is>
      </c>
      <c r="E9" s="38" t="n"/>
      <c r="F9" s="38" t="n"/>
      <c r="G9" s="38" t="n"/>
      <c r="H9" s="38" t="n"/>
      <c r="I9" s="38" t="n"/>
      <c r="J9" s="38" t="n"/>
      <c r="K9" s="7" t="n"/>
    </row>
    <row r="10" ht="18" customHeight="1" s="90">
      <c r="A10" s="41" t="inlineStr">
        <is>
          <t>Área de Formação:</t>
        </is>
      </c>
      <c r="D10" s="95" t="inlineStr">
        <is>
          <t>Ciências Informáticas (481)</t>
        </is>
      </c>
      <c r="E10" s="95" t="n"/>
      <c r="F10" s="95" t="n"/>
      <c r="G10" s="95" t="n"/>
      <c r="H10" s="95" t="n"/>
      <c r="I10" s="95" t="n"/>
      <c r="J10" s="95" t="n"/>
      <c r="K10" s="7" t="n"/>
    </row>
    <row r="11" ht="18.75" customHeight="1" s="90">
      <c r="A11" s="41" t="inlineStr">
        <is>
          <t>Curso Profissional:</t>
        </is>
      </c>
      <c r="D11" s="95" t="inlineStr">
        <is>
          <t>Técnico de Gestão e Programação de Sistemas Informáticos</t>
        </is>
      </c>
      <c r="E11" s="95" t="n"/>
      <c r="F11" s="95" t="n"/>
      <c r="G11" s="95" t="n"/>
      <c r="H11" s="95" t="n"/>
      <c r="I11" s="95" t="n"/>
      <c r="J11" s="95" t="n"/>
      <c r="K11" s="7" t="n"/>
    </row>
    <row r="12" ht="18" customHeight="1" s="90">
      <c r="A12" s="41" t="inlineStr">
        <is>
          <t>Saída Profissional:</t>
        </is>
      </c>
      <c r="D12" s="95" t="inlineStr">
        <is>
          <t>Técnico de Gestão e Programação de Sistemas Informáticos</t>
        </is>
      </c>
      <c r="E12" s="95" t="n"/>
      <c r="F12" s="95" t="n"/>
      <c r="G12" s="95" t="n"/>
      <c r="H12" s="95" t="n"/>
      <c r="I12" s="95" t="n"/>
      <c r="J12" s="95" t="n"/>
      <c r="K12" s="7" t="n"/>
    </row>
    <row r="13" ht="7.5" customHeight="1" s="90">
      <c r="A13" s="3" t="n"/>
    </row>
    <row r="14" ht="15" customHeight="1" s="90">
      <c r="A14" s="40" t="inlineStr">
        <is>
          <t>A – Desenvolvimento do Projeto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1" t="n"/>
    </row>
    <row r="15" ht="15" customHeight="1" s="90">
      <c r="A15" s="36" t="inlineStr">
        <is>
          <t>Cotação máxima</t>
        </is>
      </c>
      <c r="B15" s="31" t="n"/>
      <c r="C15" s="36" t="inlineStr">
        <is>
          <t>Itens avaliados</t>
        </is>
      </c>
      <c r="D15" s="33" t="n"/>
      <c r="E15" s="33" t="n"/>
      <c r="F15" s="33" t="n"/>
      <c r="G15" s="33" t="n"/>
      <c r="H15" s="33" t="n"/>
      <c r="I15" s="31" t="n"/>
      <c r="J15" s="36" t="inlineStr">
        <is>
          <t>Cotação atribuída</t>
        </is>
      </c>
      <c r="K15" s="31" t="n"/>
    </row>
    <row r="16" ht="12.75" customHeight="1" s="90">
      <c r="A16" s="36" t="n">
        <v>100</v>
      </c>
      <c r="B16" s="45" t="n"/>
      <c r="C16" s="32" t="inlineStr">
        <is>
          <t>Definição dos objectivos do projeto</t>
        </is>
      </c>
      <c r="D16" s="33" t="n"/>
      <c r="E16" s="33" t="n"/>
      <c r="F16" s="33" t="n"/>
      <c r="G16" s="33" t="n"/>
      <c r="H16" s="33" t="n"/>
      <c r="I16" s="31" t="n"/>
      <c r="J16" s="51">
        <f>'Avaliação'!Q22*5</f>
        <v/>
      </c>
      <c r="K16" s="52" t="n"/>
    </row>
    <row r="17" ht="12.75" customHeight="1" s="90">
      <c r="A17" s="46" t="n"/>
      <c r="B17" s="47" t="n"/>
      <c r="C17" s="32" t="inlineStr">
        <is>
          <t>Qualidade científica e técnica</t>
        </is>
      </c>
      <c r="D17" s="33" t="n"/>
      <c r="E17" s="33" t="n"/>
      <c r="F17" s="33" t="n"/>
      <c r="G17" s="33" t="n"/>
      <c r="H17" s="33" t="n"/>
      <c r="I17" s="31" t="n"/>
      <c r="J17" s="53" t="n"/>
      <c r="K17" s="54" t="n"/>
    </row>
    <row r="18" ht="12.75" customHeight="1" s="90">
      <c r="A18" s="46" t="n"/>
      <c r="B18" s="47" t="n"/>
      <c r="C18" s="32" t="inlineStr">
        <is>
          <t>Pertinência, criatividade e inovação</t>
        </is>
      </c>
      <c r="D18" s="33" t="n"/>
      <c r="E18" s="33" t="n"/>
      <c r="F18" s="33" t="n"/>
      <c r="G18" s="33" t="n"/>
      <c r="H18" s="33" t="n"/>
      <c r="I18" s="31" t="n"/>
      <c r="J18" s="53" t="n"/>
      <c r="K18" s="54" t="n"/>
      <c r="M18" s="10" t="n"/>
    </row>
    <row r="19" ht="12.75" customHeight="1" s="90">
      <c r="A19" s="46" t="n"/>
      <c r="B19" s="47" t="n"/>
      <c r="C19" s="32" t="inlineStr">
        <is>
          <t>Planeamento dos recursos necessários</t>
        </is>
      </c>
      <c r="D19" s="33" t="n"/>
      <c r="E19" s="33" t="n"/>
      <c r="F19" s="33" t="n"/>
      <c r="G19" s="33" t="n"/>
      <c r="H19" s="33" t="n"/>
      <c r="I19" s="31" t="n"/>
      <c r="J19" s="53" t="n"/>
      <c r="K19" s="54" t="n"/>
    </row>
    <row r="20" ht="12.75" customHeight="1" s="90">
      <c r="A20" s="46" t="n"/>
      <c r="B20" s="47" t="n"/>
      <c r="C20" s="32" t="inlineStr">
        <is>
          <t>Definição das fases de execução do projeto</t>
        </is>
      </c>
      <c r="D20" s="33" t="n"/>
      <c r="E20" s="33" t="n"/>
      <c r="F20" s="33" t="n"/>
      <c r="G20" s="33" t="n"/>
      <c r="H20" s="33" t="n"/>
      <c r="I20" s="31" t="n"/>
      <c r="J20" s="53" t="n"/>
      <c r="K20" s="54" t="n"/>
    </row>
    <row r="21" ht="12.75" customHeight="1" s="90">
      <c r="A21" s="46" t="n"/>
      <c r="B21" s="47" t="n"/>
      <c r="C21" s="32" t="inlineStr">
        <is>
          <t>Autonomia</t>
        </is>
      </c>
      <c r="D21" s="33" t="n"/>
      <c r="E21" s="33" t="n"/>
      <c r="F21" s="33" t="n"/>
      <c r="G21" s="33" t="n"/>
      <c r="H21" s="33" t="n"/>
      <c r="I21" s="31" t="n"/>
      <c r="J21" s="53" t="n"/>
      <c r="K21" s="54" t="n"/>
    </row>
    <row r="22" ht="12.75" customHeight="1" s="90">
      <c r="A22" s="48" t="n"/>
      <c r="B22" s="49" t="n"/>
      <c r="C22" s="32" t="inlineStr">
        <is>
          <t>Sentido de responsabilidade e gestão do tempo</t>
        </is>
      </c>
      <c r="D22" s="33" t="n"/>
      <c r="E22" s="33" t="n"/>
      <c r="F22" s="33" t="n"/>
      <c r="G22" s="33" t="n"/>
      <c r="H22" s="33" t="n"/>
      <c r="I22" s="31" t="n"/>
      <c r="J22" s="55" t="n"/>
      <c r="K22" s="56" t="n"/>
    </row>
    <row r="23" ht="7.5" customHeight="1" s="90">
      <c r="A23" s="4" t="n"/>
    </row>
    <row r="24" ht="15" customHeight="1" s="90">
      <c r="A24" s="40" t="inlineStr">
        <is>
          <t>B – Relatório final</t>
        </is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1" t="n"/>
    </row>
    <row r="25" ht="15" customHeight="1" s="90">
      <c r="A25" s="36" t="inlineStr">
        <is>
          <t>Cotação máxima</t>
        </is>
      </c>
      <c r="B25" s="31" t="n"/>
      <c r="C25" s="36" t="inlineStr">
        <is>
          <t>Itens avaliados</t>
        </is>
      </c>
      <c r="D25" s="33" t="n"/>
      <c r="E25" s="33" t="n"/>
      <c r="F25" s="33" t="n"/>
      <c r="G25" s="33" t="n"/>
      <c r="H25" s="33" t="n"/>
      <c r="I25" s="31" t="n"/>
      <c r="J25" s="36" t="inlineStr">
        <is>
          <t>Cotação atribuída</t>
        </is>
      </c>
      <c r="K25" s="31" t="n"/>
    </row>
    <row r="26" ht="12.75" customHeight="1" s="90">
      <c r="A26" s="36" t="n">
        <v>40</v>
      </c>
      <c r="B26" s="45" t="n"/>
      <c r="C26" s="32" t="inlineStr">
        <is>
          <t>Objetividade</t>
        </is>
      </c>
      <c r="D26" s="33" t="n"/>
      <c r="E26" s="33" t="n"/>
      <c r="F26" s="33" t="n"/>
      <c r="G26" s="33" t="n"/>
      <c r="H26" s="33" t="n"/>
      <c r="I26" s="31" t="n"/>
      <c r="J26" s="51">
        <f>'Avaliação'!Q29*2</f>
        <v/>
      </c>
      <c r="K26" s="52" t="n"/>
    </row>
    <row r="27" ht="12.75" customHeight="1" s="90">
      <c r="A27" s="46" t="n"/>
      <c r="B27" s="47" t="n"/>
      <c r="C27" s="32" t="inlineStr">
        <is>
          <t>Pertinência das informações</t>
        </is>
      </c>
      <c r="D27" s="33" t="n"/>
      <c r="E27" s="33" t="n"/>
      <c r="F27" s="33" t="n"/>
      <c r="G27" s="33" t="n"/>
      <c r="H27" s="33" t="n"/>
      <c r="I27" s="31" t="n"/>
      <c r="J27" s="53" t="n"/>
      <c r="K27" s="54" t="n"/>
      <c r="M27" s="10" t="n"/>
    </row>
    <row r="28" ht="12.75" customHeight="1" s="90">
      <c r="A28" s="46" t="n"/>
      <c r="B28" s="47" t="n"/>
      <c r="C28" s="32" t="inlineStr">
        <is>
          <t>Identificação das dificuldades e meios de as superar</t>
        </is>
      </c>
      <c r="D28" s="33" t="n"/>
      <c r="E28" s="33" t="n"/>
      <c r="F28" s="33" t="n"/>
      <c r="G28" s="33" t="n"/>
      <c r="H28" s="33" t="n"/>
      <c r="I28" s="31" t="n"/>
      <c r="J28" s="53" t="n"/>
      <c r="K28" s="54" t="n"/>
    </row>
    <row r="29" ht="12.75" customHeight="1" s="90">
      <c r="A29" s="46" t="n"/>
      <c r="B29" s="47" t="n"/>
      <c r="C29" s="32" t="inlineStr">
        <is>
          <t>Capacidade de análise crítica</t>
        </is>
      </c>
      <c r="D29" s="33" t="n"/>
      <c r="E29" s="33" t="n"/>
      <c r="F29" s="33" t="n"/>
      <c r="G29" s="33" t="n"/>
      <c r="H29" s="33" t="n"/>
      <c r="I29" s="31" t="n"/>
      <c r="J29" s="53" t="n"/>
      <c r="K29" s="54" t="n"/>
    </row>
    <row r="30" ht="12.75" customHeight="1" s="90">
      <c r="A30" s="48" t="n"/>
      <c r="B30" s="49" t="n"/>
      <c r="C30" s="32" t="inlineStr">
        <is>
          <t>Sentido de responsabilidade e gestão do tempo</t>
        </is>
      </c>
      <c r="D30" s="33" t="n"/>
      <c r="E30" s="33" t="n"/>
      <c r="F30" s="33" t="n"/>
      <c r="G30" s="33" t="n"/>
      <c r="H30" s="33" t="n"/>
      <c r="I30" s="31" t="n"/>
      <c r="J30" s="55" t="n"/>
      <c r="K30" s="56" t="n"/>
    </row>
    <row r="31" ht="7.5" customHeight="1" s="90">
      <c r="A31" s="4" t="n"/>
    </row>
    <row r="32" ht="15" customHeight="1" s="90">
      <c r="A32" s="40" t="inlineStr">
        <is>
          <t>C – Apresentação e Defesa do Projecto</t>
        </is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1" t="n"/>
    </row>
    <row r="33" ht="15" customHeight="1" s="90">
      <c r="A33" s="36" t="inlineStr">
        <is>
          <t>Cotação máxima</t>
        </is>
      </c>
      <c r="B33" s="31" t="n"/>
      <c r="C33" s="36" t="inlineStr">
        <is>
          <t>Itens avaliados</t>
        </is>
      </c>
      <c r="D33" s="33" t="n"/>
      <c r="E33" s="33" t="n"/>
      <c r="F33" s="33" t="n"/>
      <c r="G33" s="33" t="n"/>
      <c r="H33" s="33" t="n"/>
      <c r="I33" s="31" t="n"/>
      <c r="J33" s="36" t="inlineStr">
        <is>
          <t>Cotação atribuída</t>
        </is>
      </c>
      <c r="K33" s="31" t="n"/>
    </row>
    <row r="34" ht="12.75" customHeight="1" s="90">
      <c r="A34" s="36" t="n">
        <v>60</v>
      </c>
      <c r="B34" s="45" t="n"/>
      <c r="C34" s="32" t="inlineStr">
        <is>
          <t xml:space="preserve">Capacidade de expressão oral e de expressão corporal </t>
        </is>
      </c>
      <c r="D34" s="33" t="n"/>
      <c r="E34" s="33" t="n"/>
      <c r="F34" s="33" t="n"/>
      <c r="G34" s="33" t="n"/>
      <c r="H34" s="33" t="n"/>
      <c r="I34" s="31" t="n"/>
      <c r="J34" s="51">
        <f>'Avaliação'!Q35*3</f>
        <v/>
      </c>
      <c r="K34" s="52" t="n"/>
    </row>
    <row r="35" ht="12.75" customHeight="1" s="90">
      <c r="A35" s="46" t="n"/>
      <c r="B35" s="47" t="n"/>
      <c r="C35" s="32" t="inlineStr">
        <is>
          <t>Capacidade de síntese</t>
        </is>
      </c>
      <c r="D35" s="33" t="n"/>
      <c r="E35" s="33" t="n"/>
      <c r="F35" s="33" t="n"/>
      <c r="G35" s="33" t="n"/>
      <c r="H35" s="33" t="n"/>
      <c r="I35" s="31" t="n"/>
      <c r="J35" s="53" t="n"/>
      <c r="K35" s="54" t="n"/>
    </row>
    <row r="36" ht="12.75" customHeight="1" s="90">
      <c r="A36" s="46" t="n"/>
      <c r="B36" s="47" t="n"/>
      <c r="C36" s="32" t="inlineStr">
        <is>
          <t>Qualidade dos recursos/estratégias utilizadas na apresentação</t>
        </is>
      </c>
      <c r="D36" s="33" t="n"/>
      <c r="E36" s="33" t="n"/>
      <c r="F36" s="33" t="n"/>
      <c r="G36" s="33" t="n"/>
      <c r="H36" s="33" t="n"/>
      <c r="I36" s="31" t="n"/>
      <c r="J36" s="53" t="n"/>
      <c r="K36" s="54" t="n"/>
      <c r="M36" s="10" t="n"/>
    </row>
    <row r="37" ht="12.75" customHeight="1" s="90">
      <c r="A37" s="48" t="n"/>
      <c r="B37" s="49" t="n"/>
      <c r="C37" s="32" t="inlineStr">
        <is>
          <t>Qualidade de argumentação na defesa do projeto</t>
        </is>
      </c>
      <c r="D37" s="33" t="n"/>
      <c r="E37" s="33" t="n"/>
      <c r="F37" s="33" t="n"/>
      <c r="G37" s="33" t="n"/>
      <c r="H37" s="33" t="n"/>
      <c r="I37" s="31" t="n"/>
      <c r="J37" s="55" t="n"/>
      <c r="K37" s="56" t="n"/>
    </row>
    <row r="38" ht="7.5" customHeight="1" s="90">
      <c r="A38" s="6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 ht="19.5" customHeight="1" s="90">
      <c r="A39" s="39">
        <f>SUM(A16,A26,A34)</f>
        <v/>
      </c>
      <c r="B39" s="31" t="n"/>
      <c r="C39" s="39" t="inlineStr">
        <is>
          <t>Avaliação Final</t>
        </is>
      </c>
      <c r="D39" s="33" t="n"/>
      <c r="E39" s="33" t="n"/>
      <c r="F39" s="33" t="n"/>
      <c r="G39" s="33" t="n"/>
      <c r="H39" s="33" t="n"/>
      <c r="I39" s="31" t="n"/>
      <c r="J39" s="30">
        <f>ROUND(SUM(J16,J26,J34),0)</f>
        <v/>
      </c>
      <c r="K39" s="31" t="n"/>
    </row>
    <row r="40" ht="7.5" customHeight="1" s="90">
      <c r="A40" s="4" t="n"/>
    </row>
    <row r="41" ht="12.75" customHeight="1" s="90">
      <c r="A41" s="40" t="inlineStr">
        <is>
          <t>Observações:</t>
        </is>
      </c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1" t="n"/>
    </row>
    <row r="42" ht="12.75" customHeight="1" s="90">
      <c r="A42" s="58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2" t="n"/>
    </row>
    <row r="43" ht="12.75" customHeight="1" s="90">
      <c r="A43" s="53" t="n"/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54" t="n"/>
    </row>
    <row r="44" ht="12.75" customHeight="1" s="90">
      <c r="A44" s="53" t="n"/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54" t="n"/>
    </row>
    <row r="45" ht="12.75" customHeight="1" s="90">
      <c r="A45" s="53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54" t="n"/>
    </row>
    <row r="46" ht="12.75" customHeight="1" s="90">
      <c r="A46" s="55" t="n"/>
      <c r="B46" s="60" t="n"/>
      <c r="C46" s="60" t="n"/>
      <c r="D46" s="60" t="n"/>
      <c r="E46" s="60" t="n"/>
      <c r="F46" s="60" t="n"/>
      <c r="G46" s="60" t="n"/>
      <c r="H46" s="60" t="n"/>
      <c r="I46" s="60" t="n"/>
      <c r="J46" s="60" t="n"/>
      <c r="K46" s="56" t="n"/>
    </row>
    <row r="47" ht="7.5" customHeight="1" s="90">
      <c r="A47" s="5" t="n"/>
    </row>
    <row r="48" ht="12.75" customHeight="1" s="90">
      <c r="B48" s="5" t="n"/>
      <c r="C48" s="44" t="inlineStr">
        <is>
          <t xml:space="preserve">Caldas da Rainha, </t>
        </is>
      </c>
      <c r="F48" s="5" t="n"/>
      <c r="G48" s="61">
        <f>NOW()</f>
        <v/>
      </c>
      <c r="J48" s="5" t="n"/>
      <c r="K48" s="5" t="n"/>
    </row>
    <row r="49" ht="7.5" customHeight="1" s="90">
      <c r="A49" s="5" t="n"/>
    </row>
    <row r="50" ht="12.75" customHeight="1" s="90">
      <c r="A50" s="5" t="n"/>
      <c r="E50" s="50" t="inlineStr">
        <is>
          <t>O Júri da Prova</t>
        </is>
      </c>
    </row>
    <row r="51" ht="7.5" customHeight="1" s="90">
      <c r="A51" s="5" t="n"/>
    </row>
    <row r="52" ht="12.75" customHeight="1" s="90">
      <c r="A52" s="35" t="inlineStr">
        <is>
          <t>Qualidade em que está nomeado</t>
        </is>
      </c>
      <c r="B52" s="33" t="n"/>
      <c r="C52" s="33" t="n"/>
      <c r="D52" s="33" t="n"/>
      <c r="E52" s="31" t="n"/>
      <c r="G52" s="35" t="inlineStr">
        <is>
          <t>Assinatura</t>
        </is>
      </c>
      <c r="H52" s="33" t="n"/>
      <c r="I52" s="33" t="n"/>
      <c r="J52" s="33" t="n"/>
      <c r="K52" s="31" t="n"/>
    </row>
    <row r="53" ht="22.5" customHeight="1" s="90">
      <c r="A53" s="32" t="inlineStr">
        <is>
          <t>Presidente do Júri</t>
        </is>
      </c>
      <c r="B53" s="33" t="n"/>
      <c r="C53" s="33" t="n"/>
      <c r="D53" s="33" t="n"/>
      <c r="E53" s="31" t="n"/>
      <c r="G53" s="34" t="n"/>
      <c r="H53" s="33" t="n"/>
      <c r="I53" s="33" t="n"/>
      <c r="J53" s="33" t="n"/>
      <c r="K53" s="31" t="n"/>
    </row>
    <row r="54" ht="22.5" customHeight="1" s="90">
      <c r="A54" s="32" t="inlineStr">
        <is>
          <t>Professor Orientador do Projeto</t>
        </is>
      </c>
      <c r="B54" s="33" t="n"/>
      <c r="C54" s="33" t="n"/>
      <c r="D54" s="33" t="n"/>
      <c r="E54" s="31" t="n"/>
      <c r="G54" s="34" t="n"/>
      <c r="H54" s="33" t="n"/>
      <c r="I54" s="33" t="n"/>
      <c r="J54" s="33" t="n"/>
      <c r="K54" s="31" t="n"/>
    </row>
    <row r="55" ht="22.5" customHeight="1" s="90">
      <c r="A55" s="32" t="inlineStr">
        <is>
          <t>Representante das Associações Empresariais</t>
        </is>
      </c>
      <c r="B55" s="33" t="n"/>
      <c r="C55" s="33" t="n"/>
      <c r="D55" s="33" t="n"/>
      <c r="E55" s="31" t="n"/>
      <c r="G55" s="34" t="n"/>
      <c r="H55" s="33" t="n"/>
      <c r="I55" s="33" t="n"/>
      <c r="J55" s="33" t="n"/>
      <c r="K55" s="31" t="n"/>
    </row>
    <row r="56" ht="22.5" customHeight="1" s="90">
      <c r="A56" s="32" t="inlineStr">
        <is>
          <t>Personalidade de reconhecido mérito</t>
        </is>
      </c>
      <c r="B56" s="33" t="n"/>
      <c r="C56" s="33" t="n"/>
      <c r="D56" s="33" t="n"/>
      <c r="E56" s="31" t="n"/>
      <c r="G56" s="34" t="n"/>
      <c r="H56" s="33" t="n"/>
      <c r="I56" s="33" t="n"/>
      <c r="J56" s="33" t="n"/>
      <c r="K56" s="31" t="n"/>
    </row>
  </sheetData>
  <mergeCells count="60">
    <mergeCell ref="J39:K39"/>
    <mergeCell ref="C36:I36"/>
    <mergeCell ref="G56:K56"/>
    <mergeCell ref="G52:K52"/>
    <mergeCell ref="A15:B15"/>
    <mergeCell ref="D9:J9"/>
    <mergeCell ref="C17:I17"/>
    <mergeCell ref="C39:I39"/>
    <mergeCell ref="D8:J8"/>
    <mergeCell ref="A24:K24"/>
    <mergeCell ref="A12:C12"/>
    <mergeCell ref="C19:I19"/>
    <mergeCell ref="C37:I37"/>
    <mergeCell ref="A6:K6"/>
    <mergeCell ref="C28:I28"/>
    <mergeCell ref="C18:I18"/>
    <mergeCell ref="A25:B25"/>
    <mergeCell ref="A54:E54"/>
    <mergeCell ref="A8:C8"/>
    <mergeCell ref="J15:K15"/>
    <mergeCell ref="A41:K41"/>
    <mergeCell ref="C34:I34"/>
    <mergeCell ref="C48:E48"/>
    <mergeCell ref="C30:I30"/>
    <mergeCell ref="G53:K53"/>
    <mergeCell ref="C15:I15"/>
    <mergeCell ref="C33:I33"/>
    <mergeCell ref="A56:E56"/>
    <mergeCell ref="A10:C10"/>
    <mergeCell ref="A55:E55"/>
    <mergeCell ref="A34:B37"/>
    <mergeCell ref="C26:I26"/>
    <mergeCell ref="A33:B33"/>
    <mergeCell ref="C35:I35"/>
    <mergeCell ref="J25:K25"/>
    <mergeCell ref="C20:I20"/>
    <mergeCell ref="E50:G50"/>
    <mergeCell ref="C29:I29"/>
    <mergeCell ref="C16:I16"/>
    <mergeCell ref="A32:K32"/>
    <mergeCell ref="A14:K14"/>
    <mergeCell ref="J26:K30"/>
    <mergeCell ref="C25:I25"/>
    <mergeCell ref="G55:K55"/>
    <mergeCell ref="A16:B22"/>
    <mergeCell ref="A53:E53"/>
    <mergeCell ref="C22:I22"/>
    <mergeCell ref="A11:C11"/>
    <mergeCell ref="A4:K4"/>
    <mergeCell ref="A52:E52"/>
    <mergeCell ref="J16:K22"/>
    <mergeCell ref="C21:I21"/>
    <mergeCell ref="J34:K37"/>
    <mergeCell ref="A26:B30"/>
    <mergeCell ref="A42:K46"/>
    <mergeCell ref="J33:K33"/>
    <mergeCell ref="G54:K54"/>
    <mergeCell ref="G48:I48"/>
    <mergeCell ref="C27:I27"/>
    <mergeCell ref="A39:B39"/>
  </mergeCells>
  <conditionalFormatting sqref="J16:K22 J34:K37">
    <cfRule type="cellIs" priority="1" operator="greaterThan" dxfId="0" stopIfTrue="1">
      <formula>$A$16</formula>
    </cfRule>
  </conditionalFormatting>
  <conditionalFormatting sqref="J26:K30">
    <cfRule type="cellIs" priority="2" operator="greaterThan" dxfId="0" stopIfTrue="1">
      <formula>$A$26</formula>
    </cfRule>
  </conditionalFormatting>
  <conditionalFormatting sqref="J39:K39">
    <cfRule type="cellIs" priority="3" operator="greaterThan" dxfId="0" stopIfTrue="1">
      <formula>200</formula>
    </cfRule>
  </conditionalFormatting>
  <dataValidations count="3">
    <dataValidation sqref="D10" showDropDown="0" showInputMessage="0" showErrorMessage="0" allowBlank="1" errorTitle="Valor inválido" error="Seleccione um valor da lista." type="list">
      <formula1>='Auxiliar'!$B$6:$B$8</formula1>
    </dataValidation>
    <dataValidation sqref="D12" showDropDown="0" showInputMessage="0" showErrorMessage="0" allowBlank="1" errorTitle="Valor inválido" error="Seleccione um valor da lista." type="list">
      <formula1>='Auxiliar'!$D$6:$D$8</formula1>
    </dataValidation>
    <dataValidation sqref="D11" showDropDown="0" showInputMessage="0" showErrorMessage="0" allowBlank="1" errorTitle="Valor inválido" error="Seleccione um valor da lista." type="list">
      <formula1>='Auxiliar'!$B$16:$B$18</formula1>
    </dataValidation>
  </dataValidations>
  <printOptions horizontalCentered="1"/>
  <pageMargins left="0.984251968503937" right="0.5905511811023623" top="0.5905511811023623" bottom="0.5905511811023623" header="0" footer="0"/>
  <pageSetup orientation="portrait" paperSize="9" scale="94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2:M56"/>
  <sheetViews>
    <sheetView zoomScale="150" workbookViewId="0">
      <selection activeCell="B57" sqref="B57"/>
    </sheetView>
  </sheetViews>
  <sheetFormatPr baseColWidth="8" defaultColWidth="9.140625" defaultRowHeight="12.75" customHeight="1"/>
  <cols>
    <col width="8.5703125" customWidth="1" style="42" min="1" max="5"/>
    <col width="2" customWidth="1" style="42" min="6" max="6"/>
    <col width="8.5703125" customWidth="1" style="42" min="7" max="11"/>
    <col width="9.140625" customWidth="1" style="42" min="12" max="16"/>
    <col width="9.140625" customWidth="1" style="42" min="17" max="16384"/>
  </cols>
  <sheetData>
    <row r="2" ht="16.9" customHeight="1" s="90">
      <c r="B2" s="9" t="n"/>
      <c r="C2" s="9" t="n"/>
      <c r="D2" s="9" t="inlineStr">
        <is>
          <t>Agrupamento de Escolas Raul Proença</t>
        </is>
      </c>
      <c r="E2" s="9" t="n"/>
      <c r="F2" s="9" t="n"/>
      <c r="G2" s="9" t="n"/>
      <c r="H2" s="9" t="n"/>
      <c r="I2" s="9" t="n"/>
      <c r="J2" s="9" t="n"/>
      <c r="K2" s="9" t="n"/>
    </row>
    <row r="4" ht="15" customHeight="1" s="90">
      <c r="A4" s="57" t="inlineStr">
        <is>
          <t>Ano letivo 2025/2026</t>
        </is>
      </c>
    </row>
    <row r="5" ht="7.5" customHeight="1" s="90">
      <c r="A5" s="2" t="n"/>
    </row>
    <row r="6" ht="15" customHeight="1" s="90">
      <c r="A6" s="43" t="inlineStr">
        <is>
          <t>Ata de Avaliação da Prova de Aptidão Profissional</t>
        </is>
      </c>
    </row>
    <row r="7" ht="12.75" customHeight="1" s="90">
      <c r="A7" s="3" t="n"/>
    </row>
    <row r="8" ht="12.75" customHeight="1" s="90">
      <c r="A8" s="41" t="inlineStr">
        <is>
          <t>Aluno:</t>
        </is>
      </c>
      <c r="D8" s="96" t="inlineStr">
        <is>
          <t>Francisco Luís Henriques Júnior</t>
        </is>
      </c>
      <c r="E8" s="38" t="n"/>
      <c r="F8" s="38" t="n"/>
      <c r="G8" s="38" t="n"/>
      <c r="H8" s="38" t="n"/>
      <c r="I8" s="38" t="n"/>
      <c r="J8" s="38" t="n"/>
      <c r="K8" s="7" t="n"/>
    </row>
    <row r="9" ht="12.75" customHeight="1" s="90">
      <c r="A9" s="41" t="n"/>
      <c r="B9" s="41" t="n"/>
      <c r="C9" s="41" t="inlineStr">
        <is>
          <t>Tema:</t>
        </is>
      </c>
      <c r="D9" s="96" t="inlineStr">
        <is>
          <t>Manitou MT-928 - Miniatura Telecomandada da Manitou MT-928</t>
        </is>
      </c>
      <c r="E9" s="38" t="n"/>
      <c r="F9" s="38" t="n"/>
      <c r="G9" s="38" t="n"/>
      <c r="H9" s="38" t="n"/>
      <c r="I9" s="38" t="n"/>
      <c r="J9" s="38" t="n"/>
      <c r="K9" s="7" t="n"/>
    </row>
    <row r="10" ht="18" customHeight="1" s="90">
      <c r="A10" s="41" t="inlineStr">
        <is>
          <t>Área de Formação:</t>
        </is>
      </c>
      <c r="D10" s="95" t="inlineStr">
        <is>
          <t>Ciências Informáticas (481)</t>
        </is>
      </c>
      <c r="E10" s="95" t="n"/>
      <c r="F10" s="95" t="n"/>
      <c r="G10" s="95" t="n"/>
      <c r="H10" s="95" t="n"/>
      <c r="I10" s="95" t="n"/>
      <c r="J10" s="95" t="n"/>
      <c r="K10" s="7" t="n"/>
    </row>
    <row r="11" ht="18.75" customHeight="1" s="90">
      <c r="A11" s="41" t="inlineStr">
        <is>
          <t>Curso Profissional:</t>
        </is>
      </c>
      <c r="D11" s="95" t="inlineStr">
        <is>
          <t>Técnico de Gestão e Programação de Sistemas Informáticos</t>
        </is>
      </c>
      <c r="E11" s="95" t="n"/>
      <c r="F11" s="95" t="n"/>
      <c r="G11" s="95" t="n"/>
      <c r="H11" s="95" t="n"/>
      <c r="I11" s="95" t="n"/>
      <c r="J11" s="95" t="n"/>
      <c r="K11" s="7" t="n"/>
    </row>
    <row r="12" ht="18" customHeight="1" s="90">
      <c r="A12" s="41" t="inlineStr">
        <is>
          <t>Saída Profissional:</t>
        </is>
      </c>
      <c r="D12" s="95" t="inlineStr">
        <is>
          <t>Técnico de Gestão e Programação de Sistemas Informáticos</t>
        </is>
      </c>
      <c r="E12" s="95" t="n"/>
      <c r="F12" s="95" t="n"/>
      <c r="G12" s="95" t="n"/>
      <c r="H12" s="95" t="n"/>
      <c r="I12" s="95" t="n"/>
      <c r="J12" s="95" t="n"/>
      <c r="K12" s="7" t="n"/>
    </row>
    <row r="13" ht="7.5" customHeight="1" s="90">
      <c r="A13" s="3" t="n"/>
    </row>
    <row r="14" ht="15" customHeight="1" s="90">
      <c r="A14" s="40" t="inlineStr">
        <is>
          <t>A – Desenvolvimento do Projeto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1" t="n"/>
    </row>
    <row r="15" ht="15" customHeight="1" s="90">
      <c r="A15" s="36" t="inlineStr">
        <is>
          <t>Cotação máxima</t>
        </is>
      </c>
      <c r="B15" s="31" t="n"/>
      <c r="C15" s="36" t="inlineStr">
        <is>
          <t>Itens avaliados</t>
        </is>
      </c>
      <c r="D15" s="33" t="n"/>
      <c r="E15" s="33" t="n"/>
      <c r="F15" s="33" t="n"/>
      <c r="G15" s="33" t="n"/>
      <c r="H15" s="33" t="n"/>
      <c r="I15" s="31" t="n"/>
      <c r="J15" s="36" t="inlineStr">
        <is>
          <t>Cotação atribuída</t>
        </is>
      </c>
      <c r="K15" s="31" t="n"/>
    </row>
    <row r="16" ht="12.75" customHeight="1" s="90">
      <c r="A16" s="36" t="n">
        <v>100</v>
      </c>
      <c r="B16" s="45" t="n"/>
      <c r="C16" s="32" t="inlineStr">
        <is>
          <t>Definição dos objectivos do projeto</t>
        </is>
      </c>
      <c r="D16" s="33" t="n"/>
      <c r="E16" s="33" t="n"/>
      <c r="F16" s="33" t="n"/>
      <c r="G16" s="33" t="n"/>
      <c r="H16" s="33" t="n"/>
      <c r="I16" s="31" t="n"/>
      <c r="J16" s="51">
        <f>'Avaliação'!R22*5</f>
        <v/>
      </c>
      <c r="K16" s="52" t="n"/>
    </row>
    <row r="17" ht="12.75" customHeight="1" s="90">
      <c r="A17" s="46" t="n"/>
      <c r="B17" s="47" t="n"/>
      <c r="C17" s="32" t="inlineStr">
        <is>
          <t>Qualidade científica e técnica</t>
        </is>
      </c>
      <c r="D17" s="33" t="n"/>
      <c r="E17" s="33" t="n"/>
      <c r="F17" s="33" t="n"/>
      <c r="G17" s="33" t="n"/>
      <c r="H17" s="33" t="n"/>
      <c r="I17" s="31" t="n"/>
      <c r="J17" s="53" t="n"/>
      <c r="K17" s="54" t="n"/>
    </row>
    <row r="18" ht="12.75" customHeight="1" s="90">
      <c r="A18" s="46" t="n"/>
      <c r="B18" s="47" t="n"/>
      <c r="C18" s="32" t="inlineStr">
        <is>
          <t>Pertinência, criatividade e inovação</t>
        </is>
      </c>
      <c r="D18" s="33" t="n"/>
      <c r="E18" s="33" t="n"/>
      <c r="F18" s="33" t="n"/>
      <c r="G18" s="33" t="n"/>
      <c r="H18" s="33" t="n"/>
      <c r="I18" s="31" t="n"/>
      <c r="J18" s="53" t="n"/>
      <c r="K18" s="54" t="n"/>
      <c r="M18" s="10" t="n"/>
    </row>
    <row r="19" ht="12.75" customHeight="1" s="90">
      <c r="A19" s="46" t="n"/>
      <c r="B19" s="47" t="n"/>
      <c r="C19" s="32" t="inlineStr">
        <is>
          <t>Planeamento dos recursos necessários</t>
        </is>
      </c>
      <c r="D19" s="33" t="n"/>
      <c r="E19" s="33" t="n"/>
      <c r="F19" s="33" t="n"/>
      <c r="G19" s="33" t="n"/>
      <c r="H19" s="33" t="n"/>
      <c r="I19" s="31" t="n"/>
      <c r="J19" s="53" t="n"/>
      <c r="K19" s="54" t="n"/>
    </row>
    <row r="20" ht="12.75" customHeight="1" s="90">
      <c r="A20" s="46" t="n"/>
      <c r="B20" s="47" t="n"/>
      <c r="C20" s="32" t="inlineStr">
        <is>
          <t>Definição das fases de execução do projeto</t>
        </is>
      </c>
      <c r="D20" s="33" t="n"/>
      <c r="E20" s="33" t="n"/>
      <c r="F20" s="33" t="n"/>
      <c r="G20" s="33" t="n"/>
      <c r="H20" s="33" t="n"/>
      <c r="I20" s="31" t="n"/>
      <c r="J20" s="53" t="n"/>
      <c r="K20" s="54" t="n"/>
    </row>
    <row r="21" ht="12.75" customHeight="1" s="90">
      <c r="A21" s="46" t="n"/>
      <c r="B21" s="47" t="n"/>
      <c r="C21" s="32" t="inlineStr">
        <is>
          <t>Autonomia</t>
        </is>
      </c>
      <c r="D21" s="33" t="n"/>
      <c r="E21" s="33" t="n"/>
      <c r="F21" s="33" t="n"/>
      <c r="G21" s="33" t="n"/>
      <c r="H21" s="33" t="n"/>
      <c r="I21" s="31" t="n"/>
      <c r="J21" s="53" t="n"/>
      <c r="K21" s="54" t="n"/>
    </row>
    <row r="22" ht="12.75" customHeight="1" s="90">
      <c r="A22" s="48" t="n"/>
      <c r="B22" s="49" t="n"/>
      <c r="C22" s="32" t="inlineStr">
        <is>
          <t>Sentido de responsabilidade e gestão do tempo</t>
        </is>
      </c>
      <c r="D22" s="33" t="n"/>
      <c r="E22" s="33" t="n"/>
      <c r="F22" s="33" t="n"/>
      <c r="G22" s="33" t="n"/>
      <c r="H22" s="33" t="n"/>
      <c r="I22" s="31" t="n"/>
      <c r="J22" s="55" t="n"/>
      <c r="K22" s="56" t="n"/>
    </row>
    <row r="23" ht="7.5" customHeight="1" s="90">
      <c r="A23" s="4" t="n"/>
    </row>
    <row r="24" ht="15" customHeight="1" s="90">
      <c r="A24" s="40" t="inlineStr">
        <is>
          <t>B – Relatório final</t>
        </is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1" t="n"/>
    </row>
    <row r="25" ht="15" customHeight="1" s="90">
      <c r="A25" s="36" t="inlineStr">
        <is>
          <t>Cotação máxima</t>
        </is>
      </c>
      <c r="B25" s="31" t="n"/>
      <c r="C25" s="36" t="inlineStr">
        <is>
          <t>Itens avaliados</t>
        </is>
      </c>
      <c r="D25" s="33" t="n"/>
      <c r="E25" s="33" t="n"/>
      <c r="F25" s="33" t="n"/>
      <c r="G25" s="33" t="n"/>
      <c r="H25" s="33" t="n"/>
      <c r="I25" s="31" t="n"/>
      <c r="J25" s="36" t="inlineStr">
        <is>
          <t>Cotação atribuída</t>
        </is>
      </c>
      <c r="K25" s="31" t="n"/>
    </row>
    <row r="26" ht="12.75" customHeight="1" s="90">
      <c r="A26" s="36" t="n">
        <v>40</v>
      </c>
      <c r="B26" s="45" t="n"/>
      <c r="C26" s="32" t="inlineStr">
        <is>
          <t>Objetividade</t>
        </is>
      </c>
      <c r="D26" s="33" t="n"/>
      <c r="E26" s="33" t="n"/>
      <c r="F26" s="33" t="n"/>
      <c r="G26" s="33" t="n"/>
      <c r="H26" s="33" t="n"/>
      <c r="I26" s="31" t="n"/>
      <c r="J26" s="51">
        <f>'Avaliação'!R29*2</f>
        <v/>
      </c>
      <c r="K26" s="52" t="n"/>
    </row>
    <row r="27" ht="12.75" customHeight="1" s="90">
      <c r="A27" s="46" t="n"/>
      <c r="B27" s="47" t="n"/>
      <c r="C27" s="32" t="inlineStr">
        <is>
          <t>Pertinência das informações</t>
        </is>
      </c>
      <c r="D27" s="33" t="n"/>
      <c r="E27" s="33" t="n"/>
      <c r="F27" s="33" t="n"/>
      <c r="G27" s="33" t="n"/>
      <c r="H27" s="33" t="n"/>
      <c r="I27" s="31" t="n"/>
      <c r="J27" s="53" t="n"/>
      <c r="K27" s="54" t="n"/>
      <c r="M27" s="10" t="n"/>
    </row>
    <row r="28" ht="12.75" customHeight="1" s="90">
      <c r="A28" s="46" t="n"/>
      <c r="B28" s="47" t="n"/>
      <c r="C28" s="32" t="inlineStr">
        <is>
          <t>Identificação das dificuldades e meios de as superar</t>
        </is>
      </c>
      <c r="D28" s="33" t="n"/>
      <c r="E28" s="33" t="n"/>
      <c r="F28" s="33" t="n"/>
      <c r="G28" s="33" t="n"/>
      <c r="H28" s="33" t="n"/>
      <c r="I28" s="31" t="n"/>
      <c r="J28" s="53" t="n"/>
      <c r="K28" s="54" t="n"/>
    </row>
    <row r="29" ht="12.75" customHeight="1" s="90">
      <c r="A29" s="46" t="n"/>
      <c r="B29" s="47" t="n"/>
      <c r="C29" s="32" t="inlineStr">
        <is>
          <t>Capacidade de análise crítica</t>
        </is>
      </c>
      <c r="D29" s="33" t="n"/>
      <c r="E29" s="33" t="n"/>
      <c r="F29" s="33" t="n"/>
      <c r="G29" s="33" t="n"/>
      <c r="H29" s="33" t="n"/>
      <c r="I29" s="31" t="n"/>
      <c r="J29" s="53" t="n"/>
      <c r="K29" s="54" t="n"/>
    </row>
    <row r="30" ht="12.75" customHeight="1" s="90">
      <c r="A30" s="48" t="n"/>
      <c r="B30" s="49" t="n"/>
      <c r="C30" s="32" t="inlineStr">
        <is>
          <t>Sentido de responsabilidade e gestão do tempo</t>
        </is>
      </c>
      <c r="D30" s="33" t="n"/>
      <c r="E30" s="33" t="n"/>
      <c r="F30" s="33" t="n"/>
      <c r="G30" s="33" t="n"/>
      <c r="H30" s="33" t="n"/>
      <c r="I30" s="31" t="n"/>
      <c r="J30" s="55" t="n"/>
      <c r="K30" s="56" t="n"/>
    </row>
    <row r="31" ht="7.5" customHeight="1" s="90">
      <c r="A31" s="4" t="n"/>
    </row>
    <row r="32" ht="15" customHeight="1" s="90">
      <c r="A32" s="40" t="inlineStr">
        <is>
          <t>C – Apresentação e Defesa do Projecto</t>
        </is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1" t="n"/>
    </row>
    <row r="33" ht="15" customHeight="1" s="90">
      <c r="A33" s="36" t="inlineStr">
        <is>
          <t>Cotação máxima</t>
        </is>
      </c>
      <c r="B33" s="31" t="n"/>
      <c r="C33" s="36" t="inlineStr">
        <is>
          <t>Itens avaliados</t>
        </is>
      </c>
      <c r="D33" s="33" t="n"/>
      <c r="E33" s="33" t="n"/>
      <c r="F33" s="33" t="n"/>
      <c r="G33" s="33" t="n"/>
      <c r="H33" s="33" t="n"/>
      <c r="I33" s="31" t="n"/>
      <c r="J33" s="36" t="inlineStr">
        <is>
          <t>Cotação atribuída</t>
        </is>
      </c>
      <c r="K33" s="31" t="n"/>
    </row>
    <row r="34" ht="12.75" customHeight="1" s="90">
      <c r="A34" s="36" t="n">
        <v>60</v>
      </c>
      <c r="B34" s="45" t="n"/>
      <c r="C34" s="32" t="inlineStr">
        <is>
          <t xml:space="preserve">Capacidade de expressão oral e de expressão corporal </t>
        </is>
      </c>
      <c r="D34" s="33" t="n"/>
      <c r="E34" s="33" t="n"/>
      <c r="F34" s="33" t="n"/>
      <c r="G34" s="33" t="n"/>
      <c r="H34" s="33" t="n"/>
      <c r="I34" s="31" t="n"/>
      <c r="J34" s="51">
        <f>'Avaliação'!R35*3</f>
        <v/>
      </c>
      <c r="K34" s="52" t="n"/>
    </row>
    <row r="35" ht="12.75" customHeight="1" s="90">
      <c r="A35" s="46" t="n"/>
      <c r="B35" s="47" t="n"/>
      <c r="C35" s="32" t="inlineStr">
        <is>
          <t>Capacidade de síntese</t>
        </is>
      </c>
      <c r="D35" s="33" t="n"/>
      <c r="E35" s="33" t="n"/>
      <c r="F35" s="33" t="n"/>
      <c r="G35" s="33" t="n"/>
      <c r="H35" s="33" t="n"/>
      <c r="I35" s="31" t="n"/>
      <c r="J35" s="53" t="n"/>
      <c r="K35" s="54" t="n"/>
    </row>
    <row r="36" ht="12.75" customHeight="1" s="90">
      <c r="A36" s="46" t="n"/>
      <c r="B36" s="47" t="n"/>
      <c r="C36" s="32" t="inlineStr">
        <is>
          <t>Qualidade dos recursos/estratégias utilizadas na apresentação</t>
        </is>
      </c>
      <c r="D36" s="33" t="n"/>
      <c r="E36" s="33" t="n"/>
      <c r="F36" s="33" t="n"/>
      <c r="G36" s="33" t="n"/>
      <c r="H36" s="33" t="n"/>
      <c r="I36" s="31" t="n"/>
      <c r="J36" s="53" t="n"/>
      <c r="K36" s="54" t="n"/>
      <c r="M36" s="10" t="n"/>
    </row>
    <row r="37" ht="12.75" customHeight="1" s="90">
      <c r="A37" s="48" t="n"/>
      <c r="B37" s="49" t="n"/>
      <c r="C37" s="32" t="inlineStr">
        <is>
          <t>Qualidade de argumentação na defesa do projeto</t>
        </is>
      </c>
      <c r="D37" s="33" t="n"/>
      <c r="E37" s="33" t="n"/>
      <c r="F37" s="33" t="n"/>
      <c r="G37" s="33" t="n"/>
      <c r="H37" s="33" t="n"/>
      <c r="I37" s="31" t="n"/>
      <c r="J37" s="55" t="n"/>
      <c r="K37" s="56" t="n"/>
    </row>
    <row r="38" ht="7.5" customHeight="1" s="90">
      <c r="A38" s="6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 ht="19.5" customHeight="1" s="90">
      <c r="A39" s="39">
        <f>SUM(A16,A26,A34)</f>
        <v/>
      </c>
      <c r="B39" s="31" t="n"/>
      <c r="C39" s="39" t="inlineStr">
        <is>
          <t>Avaliação Final</t>
        </is>
      </c>
      <c r="D39" s="33" t="n"/>
      <c r="E39" s="33" t="n"/>
      <c r="F39" s="33" t="n"/>
      <c r="G39" s="33" t="n"/>
      <c r="H39" s="33" t="n"/>
      <c r="I39" s="31" t="n"/>
      <c r="J39" s="30">
        <f>ROUND(SUM(J16,J26,J34),0)</f>
        <v/>
      </c>
      <c r="K39" s="31" t="n"/>
    </row>
    <row r="40" ht="7.5" customHeight="1" s="90">
      <c r="A40" s="4" t="n"/>
    </row>
    <row r="41" ht="12.75" customHeight="1" s="90">
      <c r="A41" s="40" t="inlineStr">
        <is>
          <t>Observações:</t>
        </is>
      </c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1" t="n"/>
    </row>
    <row r="42" ht="12.75" customHeight="1" s="90">
      <c r="A42" s="58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2" t="n"/>
    </row>
    <row r="43" ht="12.75" customHeight="1" s="90">
      <c r="A43" s="53" t="n"/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54" t="n"/>
    </row>
    <row r="44" ht="12.75" customHeight="1" s="90">
      <c r="A44" s="53" t="n"/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54" t="n"/>
    </row>
    <row r="45" ht="12.75" customHeight="1" s="90">
      <c r="A45" s="53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54" t="n"/>
    </row>
    <row r="46" ht="12.75" customHeight="1" s="90">
      <c r="A46" s="55" t="n"/>
      <c r="B46" s="60" t="n"/>
      <c r="C46" s="60" t="n"/>
      <c r="D46" s="60" t="n"/>
      <c r="E46" s="60" t="n"/>
      <c r="F46" s="60" t="n"/>
      <c r="G46" s="60" t="n"/>
      <c r="H46" s="60" t="n"/>
      <c r="I46" s="60" t="n"/>
      <c r="J46" s="60" t="n"/>
      <c r="K46" s="56" t="n"/>
    </row>
    <row r="47" ht="7.5" customHeight="1" s="90">
      <c r="A47" s="5" t="n"/>
    </row>
    <row r="48" ht="12.75" customHeight="1" s="90">
      <c r="B48" s="5" t="n"/>
      <c r="C48" s="44" t="inlineStr">
        <is>
          <t xml:space="preserve">Caldas da Rainha, </t>
        </is>
      </c>
      <c r="F48" s="5" t="n"/>
      <c r="G48" s="61">
        <f>NOW()</f>
        <v/>
      </c>
      <c r="J48" s="5" t="n"/>
      <c r="K48" s="5" t="n"/>
    </row>
    <row r="49" ht="7.5" customHeight="1" s="90">
      <c r="A49" s="5" t="n"/>
    </row>
    <row r="50" ht="12.75" customHeight="1" s="90">
      <c r="A50" s="5" t="n"/>
      <c r="E50" s="50" t="inlineStr">
        <is>
          <t>O Júri da Prova</t>
        </is>
      </c>
    </row>
    <row r="51" ht="7.5" customHeight="1" s="90">
      <c r="A51" s="5" t="n"/>
    </row>
    <row r="52" ht="12.75" customHeight="1" s="90">
      <c r="A52" s="35" t="inlineStr">
        <is>
          <t>Qualidade em que está nomeado</t>
        </is>
      </c>
      <c r="B52" s="33" t="n"/>
      <c r="C52" s="33" t="n"/>
      <c r="D52" s="33" t="n"/>
      <c r="E52" s="31" t="n"/>
      <c r="G52" s="35" t="inlineStr">
        <is>
          <t>Assinatura</t>
        </is>
      </c>
      <c r="H52" s="33" t="n"/>
      <c r="I52" s="33" t="n"/>
      <c r="J52" s="33" t="n"/>
      <c r="K52" s="31" t="n"/>
    </row>
    <row r="53" ht="22.5" customHeight="1" s="90">
      <c r="A53" s="32" t="inlineStr">
        <is>
          <t>Presidente do Júri</t>
        </is>
      </c>
      <c r="B53" s="33" t="n"/>
      <c r="C53" s="33" t="n"/>
      <c r="D53" s="33" t="n"/>
      <c r="E53" s="31" t="n"/>
      <c r="G53" s="34" t="n"/>
      <c r="H53" s="33" t="n"/>
      <c r="I53" s="33" t="n"/>
      <c r="J53" s="33" t="n"/>
      <c r="K53" s="31" t="n"/>
    </row>
    <row r="54" ht="22.5" customHeight="1" s="90">
      <c r="A54" s="32" t="inlineStr">
        <is>
          <t>Professor Orientador do Projeto</t>
        </is>
      </c>
      <c r="B54" s="33" t="n"/>
      <c r="C54" s="33" t="n"/>
      <c r="D54" s="33" t="n"/>
      <c r="E54" s="31" t="n"/>
      <c r="G54" s="34" t="n"/>
      <c r="H54" s="33" t="n"/>
      <c r="I54" s="33" t="n"/>
      <c r="J54" s="33" t="n"/>
      <c r="K54" s="31" t="n"/>
    </row>
    <row r="55" ht="22.5" customHeight="1" s="90">
      <c r="A55" s="32" t="inlineStr">
        <is>
          <t>Representante das Associações Empresariais</t>
        </is>
      </c>
      <c r="B55" s="33" t="n"/>
      <c r="C55" s="33" t="n"/>
      <c r="D55" s="33" t="n"/>
      <c r="E55" s="31" t="n"/>
      <c r="G55" s="34" t="n"/>
      <c r="H55" s="33" t="n"/>
      <c r="I55" s="33" t="n"/>
      <c r="J55" s="33" t="n"/>
      <c r="K55" s="31" t="n"/>
    </row>
    <row r="56" ht="22.5" customHeight="1" s="90">
      <c r="A56" s="32" t="inlineStr">
        <is>
          <t>Personalidade de reconhecido mérito</t>
        </is>
      </c>
      <c r="B56" s="33" t="n"/>
      <c r="C56" s="33" t="n"/>
      <c r="D56" s="33" t="n"/>
      <c r="E56" s="31" t="n"/>
      <c r="G56" s="34" t="n"/>
      <c r="H56" s="33" t="n"/>
      <c r="I56" s="33" t="n"/>
      <c r="J56" s="33" t="n"/>
      <c r="K56" s="31" t="n"/>
    </row>
  </sheetData>
  <mergeCells count="60">
    <mergeCell ref="J39:K39"/>
    <mergeCell ref="C36:I36"/>
    <mergeCell ref="G56:K56"/>
    <mergeCell ref="G52:K52"/>
    <mergeCell ref="A15:B15"/>
    <mergeCell ref="D9:J9"/>
    <mergeCell ref="C17:I17"/>
    <mergeCell ref="C39:I39"/>
    <mergeCell ref="D8:J8"/>
    <mergeCell ref="A24:K24"/>
    <mergeCell ref="A12:C12"/>
    <mergeCell ref="C19:I19"/>
    <mergeCell ref="C37:I37"/>
    <mergeCell ref="A6:K6"/>
    <mergeCell ref="C28:I28"/>
    <mergeCell ref="C18:I18"/>
    <mergeCell ref="A25:B25"/>
    <mergeCell ref="A54:E54"/>
    <mergeCell ref="A8:C8"/>
    <mergeCell ref="J15:K15"/>
    <mergeCell ref="A41:K41"/>
    <mergeCell ref="C34:I34"/>
    <mergeCell ref="C48:E48"/>
    <mergeCell ref="C30:I30"/>
    <mergeCell ref="G53:K53"/>
    <mergeCell ref="C15:I15"/>
    <mergeCell ref="C33:I33"/>
    <mergeCell ref="A56:E56"/>
    <mergeCell ref="A10:C10"/>
    <mergeCell ref="A55:E55"/>
    <mergeCell ref="A34:B37"/>
    <mergeCell ref="C26:I26"/>
    <mergeCell ref="A33:B33"/>
    <mergeCell ref="C35:I35"/>
    <mergeCell ref="J25:K25"/>
    <mergeCell ref="C20:I20"/>
    <mergeCell ref="E50:G50"/>
    <mergeCell ref="C29:I29"/>
    <mergeCell ref="C16:I16"/>
    <mergeCell ref="A32:K32"/>
    <mergeCell ref="A14:K14"/>
    <mergeCell ref="J26:K30"/>
    <mergeCell ref="C25:I25"/>
    <mergeCell ref="G55:K55"/>
    <mergeCell ref="A16:B22"/>
    <mergeCell ref="A53:E53"/>
    <mergeCell ref="C22:I22"/>
    <mergeCell ref="A11:C11"/>
    <mergeCell ref="A4:K4"/>
    <mergeCell ref="A52:E52"/>
    <mergeCell ref="J16:K22"/>
    <mergeCell ref="C21:I21"/>
    <mergeCell ref="J34:K37"/>
    <mergeCell ref="A26:B30"/>
    <mergeCell ref="A42:K46"/>
    <mergeCell ref="J33:K33"/>
    <mergeCell ref="G54:K54"/>
    <mergeCell ref="G48:I48"/>
    <mergeCell ref="C27:I27"/>
    <mergeCell ref="A39:B39"/>
  </mergeCells>
  <conditionalFormatting sqref="J16:K22 J34:K37">
    <cfRule type="cellIs" priority="1" operator="greaterThan" dxfId="0" stopIfTrue="1">
      <formula>$A$16</formula>
    </cfRule>
  </conditionalFormatting>
  <conditionalFormatting sqref="J26:K30">
    <cfRule type="cellIs" priority="2" operator="greaterThan" dxfId="0" stopIfTrue="1">
      <formula>$A$26</formula>
    </cfRule>
  </conditionalFormatting>
  <conditionalFormatting sqref="J39:K39">
    <cfRule type="cellIs" priority="3" operator="greaterThan" dxfId="0" stopIfTrue="1">
      <formula>200</formula>
    </cfRule>
  </conditionalFormatting>
  <dataValidations count="3">
    <dataValidation sqref="D10" showDropDown="0" showInputMessage="0" showErrorMessage="0" allowBlank="1" errorTitle="Valor inválido" error="Seleccione um valor da lista." type="list">
      <formula1>='Auxiliar'!$B$6:$B$8</formula1>
    </dataValidation>
    <dataValidation sqref="D12" showDropDown="0" showInputMessage="0" showErrorMessage="0" allowBlank="1" errorTitle="Valor inválido" error="Seleccione um valor da lista." type="list">
      <formula1>='Auxiliar'!$D$6:$D$8</formula1>
    </dataValidation>
    <dataValidation sqref="D11" showDropDown="0" showInputMessage="0" showErrorMessage="0" allowBlank="1" errorTitle="Valor inválido" error="Seleccione um valor da lista." type="list">
      <formula1>='Auxiliar'!$B$16:$B$18</formula1>
    </dataValidation>
  </dataValidations>
  <printOptions horizontalCentered="1"/>
  <pageMargins left="0.984251968503937" right="0.5905511811023623" top="0.5905511811023623" bottom="0.5905511811023623" header="0" footer="0"/>
  <pageSetup orientation="portrait" paperSize="9" scale="94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2:M56"/>
  <sheetViews>
    <sheetView zoomScale="150" workbookViewId="0">
      <selection activeCell="B57" sqref="B57"/>
    </sheetView>
  </sheetViews>
  <sheetFormatPr baseColWidth="8" defaultColWidth="9.140625" defaultRowHeight="12.75" customHeight="1"/>
  <cols>
    <col width="8.5703125" customWidth="1" style="42" min="1" max="5"/>
    <col width="2" customWidth="1" style="42" min="6" max="6"/>
    <col width="8.5703125" customWidth="1" style="42" min="7" max="11"/>
    <col width="9.140625" customWidth="1" style="42" min="12" max="16"/>
    <col width="9.140625" customWidth="1" style="42" min="17" max="16384"/>
  </cols>
  <sheetData>
    <row r="2" ht="16.9" customHeight="1" s="90">
      <c r="B2" s="9" t="n"/>
      <c r="C2" s="9" t="n"/>
      <c r="D2" s="9" t="inlineStr">
        <is>
          <t>Agrupamento de Escolas Raul Proença</t>
        </is>
      </c>
      <c r="E2" s="9" t="n"/>
      <c r="F2" s="9" t="n"/>
      <c r="G2" s="9" t="n"/>
      <c r="H2" s="9" t="n"/>
      <c r="I2" s="9" t="n"/>
      <c r="J2" s="9" t="n"/>
      <c r="K2" s="9" t="n"/>
    </row>
    <row r="4" ht="15" customHeight="1" s="90">
      <c r="A4" s="57" t="inlineStr">
        <is>
          <t>Ano letivo 2025/2026</t>
        </is>
      </c>
    </row>
    <row r="5" ht="7.5" customHeight="1" s="90">
      <c r="A5" s="2" t="n"/>
    </row>
    <row r="6" ht="15" customHeight="1" s="90">
      <c r="A6" s="43" t="inlineStr">
        <is>
          <t>Ata de Avaliação da Prova de Aptidão Profissional</t>
        </is>
      </c>
    </row>
    <row r="7" ht="12.75" customHeight="1" s="90">
      <c r="A7" s="3" t="n"/>
    </row>
    <row r="8" ht="12.75" customHeight="1" s="90">
      <c r="A8" s="41" t="inlineStr">
        <is>
          <t>Aluno:</t>
        </is>
      </c>
      <c r="D8" s="96" t="inlineStr">
        <is>
          <t>Gabriel Marinho Bispo</t>
        </is>
      </c>
      <c r="E8" s="38" t="n"/>
      <c r="F8" s="38" t="n"/>
      <c r="G8" s="38" t="n"/>
      <c r="H8" s="38" t="n"/>
      <c r="I8" s="38" t="n"/>
      <c r="J8" s="38" t="n"/>
      <c r="K8" s="7" t="n"/>
    </row>
    <row r="9" ht="12.75" customHeight="1" s="90">
      <c r="A9" s="41" t="n"/>
      <c r="B9" s="41" t="n"/>
      <c r="C9" s="41" t="inlineStr">
        <is>
          <t>Tema:</t>
        </is>
      </c>
      <c r="D9" s="96" t="inlineStr">
        <is>
          <t>GoDeeper - Plataforma Web de Divulgação e Gestão do Grupo de Jovens da Igreja Baptista de Caldas da Rainha</t>
        </is>
      </c>
      <c r="E9" s="38" t="n"/>
      <c r="F9" s="38" t="n"/>
      <c r="G9" s="38" t="n"/>
      <c r="H9" s="38" t="n"/>
      <c r="I9" s="38" t="n"/>
      <c r="J9" s="38" t="n"/>
      <c r="K9" s="7" t="n"/>
    </row>
    <row r="10" ht="18" customHeight="1" s="90">
      <c r="A10" s="41" t="inlineStr">
        <is>
          <t>Área de Formação:</t>
        </is>
      </c>
      <c r="D10" s="95" t="inlineStr">
        <is>
          <t>Ciências Informáticas (481)</t>
        </is>
      </c>
      <c r="E10" s="95" t="n"/>
      <c r="F10" s="95" t="n"/>
      <c r="G10" s="95" t="n"/>
      <c r="H10" s="95" t="n"/>
      <c r="I10" s="95" t="n"/>
      <c r="J10" s="95" t="n"/>
      <c r="K10" s="7" t="n"/>
    </row>
    <row r="11" ht="18.75" customHeight="1" s="90">
      <c r="A11" s="41" t="inlineStr">
        <is>
          <t>Curso Profissional:</t>
        </is>
      </c>
      <c r="D11" s="95" t="inlineStr">
        <is>
          <t>Técnico de Gestão e Programação de Sistemas Informáticos</t>
        </is>
      </c>
      <c r="E11" s="95" t="n"/>
      <c r="F11" s="95" t="n"/>
      <c r="G11" s="95" t="n"/>
      <c r="H11" s="95" t="n"/>
      <c r="I11" s="95" t="n"/>
      <c r="J11" s="95" t="n"/>
      <c r="K11" s="7" t="n"/>
    </row>
    <row r="12" ht="18" customHeight="1" s="90">
      <c r="A12" s="41" t="inlineStr">
        <is>
          <t>Saída Profissional:</t>
        </is>
      </c>
      <c r="D12" s="95" t="inlineStr">
        <is>
          <t>Técnico de Gestão e Programação de Sistemas Informáticos</t>
        </is>
      </c>
      <c r="E12" s="95" t="n"/>
      <c r="F12" s="95" t="n"/>
      <c r="G12" s="95" t="n"/>
      <c r="H12" s="95" t="n"/>
      <c r="I12" s="95" t="n"/>
      <c r="J12" s="95" t="n"/>
      <c r="K12" s="7" t="n"/>
    </row>
    <row r="13" ht="7.5" customHeight="1" s="90">
      <c r="A13" s="3" t="n"/>
    </row>
    <row r="14" ht="15" customHeight="1" s="90">
      <c r="A14" s="40" t="inlineStr">
        <is>
          <t>A – Desenvolvimento do Projeto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1" t="n"/>
    </row>
    <row r="15" ht="15" customHeight="1" s="90">
      <c r="A15" s="36" t="inlineStr">
        <is>
          <t>Cotação máxima</t>
        </is>
      </c>
      <c r="B15" s="31" t="n"/>
      <c r="C15" s="36" t="inlineStr">
        <is>
          <t>Itens avaliados</t>
        </is>
      </c>
      <c r="D15" s="33" t="n"/>
      <c r="E15" s="33" t="n"/>
      <c r="F15" s="33" t="n"/>
      <c r="G15" s="33" t="n"/>
      <c r="H15" s="33" t="n"/>
      <c r="I15" s="31" t="n"/>
      <c r="J15" s="36" t="inlineStr">
        <is>
          <t>Cotação atribuída</t>
        </is>
      </c>
      <c r="K15" s="31" t="n"/>
    </row>
    <row r="16" ht="12.75" customHeight="1" s="90">
      <c r="A16" s="36" t="n">
        <v>100</v>
      </c>
      <c r="B16" s="45" t="n"/>
      <c r="C16" s="32" t="inlineStr">
        <is>
          <t>Definição dos objectivos do projeto</t>
        </is>
      </c>
      <c r="D16" s="33" t="n"/>
      <c r="E16" s="33" t="n"/>
      <c r="F16" s="33" t="n"/>
      <c r="G16" s="33" t="n"/>
      <c r="H16" s="33" t="n"/>
      <c r="I16" s="31" t="n"/>
      <c r="J16" s="51">
        <f>'Avaliação'!S22*5</f>
        <v/>
      </c>
      <c r="K16" s="52" t="n"/>
    </row>
    <row r="17" ht="12.75" customHeight="1" s="90">
      <c r="A17" s="46" t="n"/>
      <c r="B17" s="47" t="n"/>
      <c r="C17" s="32" t="inlineStr">
        <is>
          <t>Qualidade científica e técnica</t>
        </is>
      </c>
      <c r="D17" s="33" t="n"/>
      <c r="E17" s="33" t="n"/>
      <c r="F17" s="33" t="n"/>
      <c r="G17" s="33" t="n"/>
      <c r="H17" s="33" t="n"/>
      <c r="I17" s="31" t="n"/>
      <c r="J17" s="53" t="n"/>
      <c r="K17" s="54" t="n"/>
    </row>
    <row r="18" ht="12.75" customHeight="1" s="90">
      <c r="A18" s="46" t="n"/>
      <c r="B18" s="47" t="n"/>
      <c r="C18" s="32" t="inlineStr">
        <is>
          <t>Pertinência, criatividade e inovação</t>
        </is>
      </c>
      <c r="D18" s="33" t="n"/>
      <c r="E18" s="33" t="n"/>
      <c r="F18" s="33" t="n"/>
      <c r="G18" s="33" t="n"/>
      <c r="H18" s="33" t="n"/>
      <c r="I18" s="31" t="n"/>
      <c r="J18" s="53" t="n"/>
      <c r="K18" s="54" t="n"/>
      <c r="M18" s="10" t="n"/>
    </row>
    <row r="19" ht="12.75" customHeight="1" s="90">
      <c r="A19" s="46" t="n"/>
      <c r="B19" s="47" t="n"/>
      <c r="C19" s="32" t="inlineStr">
        <is>
          <t>Planeamento dos recursos necessários</t>
        </is>
      </c>
      <c r="D19" s="33" t="n"/>
      <c r="E19" s="33" t="n"/>
      <c r="F19" s="33" t="n"/>
      <c r="G19" s="33" t="n"/>
      <c r="H19" s="33" t="n"/>
      <c r="I19" s="31" t="n"/>
      <c r="J19" s="53" t="n"/>
      <c r="K19" s="54" t="n"/>
    </row>
    <row r="20" ht="12.75" customHeight="1" s="90">
      <c r="A20" s="46" t="n"/>
      <c r="B20" s="47" t="n"/>
      <c r="C20" s="32" t="inlineStr">
        <is>
          <t>Definição das fases de execução do projeto</t>
        </is>
      </c>
      <c r="D20" s="33" t="n"/>
      <c r="E20" s="33" t="n"/>
      <c r="F20" s="33" t="n"/>
      <c r="G20" s="33" t="n"/>
      <c r="H20" s="33" t="n"/>
      <c r="I20" s="31" t="n"/>
      <c r="J20" s="53" t="n"/>
      <c r="K20" s="54" t="n"/>
    </row>
    <row r="21" ht="12.75" customHeight="1" s="90">
      <c r="A21" s="46" t="n"/>
      <c r="B21" s="47" t="n"/>
      <c r="C21" s="32" t="inlineStr">
        <is>
          <t>Autonomia</t>
        </is>
      </c>
      <c r="D21" s="33" t="n"/>
      <c r="E21" s="33" t="n"/>
      <c r="F21" s="33" t="n"/>
      <c r="G21" s="33" t="n"/>
      <c r="H21" s="33" t="n"/>
      <c r="I21" s="31" t="n"/>
      <c r="J21" s="53" t="n"/>
      <c r="K21" s="54" t="n"/>
    </row>
    <row r="22" ht="12.75" customHeight="1" s="90">
      <c r="A22" s="48" t="n"/>
      <c r="B22" s="49" t="n"/>
      <c r="C22" s="32" t="inlineStr">
        <is>
          <t>Sentido de responsabilidade e gestão do tempo</t>
        </is>
      </c>
      <c r="D22" s="33" t="n"/>
      <c r="E22" s="33" t="n"/>
      <c r="F22" s="33" t="n"/>
      <c r="G22" s="33" t="n"/>
      <c r="H22" s="33" t="n"/>
      <c r="I22" s="31" t="n"/>
      <c r="J22" s="55" t="n"/>
      <c r="K22" s="56" t="n"/>
    </row>
    <row r="23" ht="7.5" customHeight="1" s="90">
      <c r="A23" s="4" t="n"/>
    </row>
    <row r="24" ht="15" customHeight="1" s="90">
      <c r="A24" s="40" t="inlineStr">
        <is>
          <t>B – Relatório final</t>
        </is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1" t="n"/>
    </row>
    <row r="25" ht="15" customHeight="1" s="90">
      <c r="A25" s="36" t="inlineStr">
        <is>
          <t>Cotação máxima</t>
        </is>
      </c>
      <c r="B25" s="31" t="n"/>
      <c r="C25" s="36" t="inlineStr">
        <is>
          <t>Itens avaliados</t>
        </is>
      </c>
      <c r="D25" s="33" t="n"/>
      <c r="E25" s="33" t="n"/>
      <c r="F25" s="33" t="n"/>
      <c r="G25" s="33" t="n"/>
      <c r="H25" s="33" t="n"/>
      <c r="I25" s="31" t="n"/>
      <c r="J25" s="36" t="inlineStr">
        <is>
          <t>Cotação atribuída</t>
        </is>
      </c>
      <c r="K25" s="31" t="n"/>
    </row>
    <row r="26" ht="12.75" customHeight="1" s="90">
      <c r="A26" s="36" t="n">
        <v>40</v>
      </c>
      <c r="B26" s="45" t="n"/>
      <c r="C26" s="32" t="inlineStr">
        <is>
          <t>Objetividade</t>
        </is>
      </c>
      <c r="D26" s="33" t="n"/>
      <c r="E26" s="33" t="n"/>
      <c r="F26" s="33" t="n"/>
      <c r="G26" s="33" t="n"/>
      <c r="H26" s="33" t="n"/>
      <c r="I26" s="31" t="n"/>
      <c r="J26" s="51">
        <f>'Avaliação'!S29*2</f>
        <v/>
      </c>
      <c r="K26" s="52" t="n"/>
    </row>
    <row r="27" ht="12.75" customHeight="1" s="90">
      <c r="A27" s="46" t="n"/>
      <c r="B27" s="47" t="n"/>
      <c r="C27" s="32" t="inlineStr">
        <is>
          <t>Pertinência das informações</t>
        </is>
      </c>
      <c r="D27" s="33" t="n"/>
      <c r="E27" s="33" t="n"/>
      <c r="F27" s="33" t="n"/>
      <c r="G27" s="33" t="n"/>
      <c r="H27" s="33" t="n"/>
      <c r="I27" s="31" t="n"/>
      <c r="J27" s="53" t="n"/>
      <c r="K27" s="54" t="n"/>
      <c r="M27" s="10" t="n"/>
    </row>
    <row r="28" ht="12.75" customHeight="1" s="90">
      <c r="A28" s="46" t="n"/>
      <c r="B28" s="47" t="n"/>
      <c r="C28" s="32" t="inlineStr">
        <is>
          <t>Identificação das dificuldades e meios de as superar</t>
        </is>
      </c>
      <c r="D28" s="33" t="n"/>
      <c r="E28" s="33" t="n"/>
      <c r="F28" s="33" t="n"/>
      <c r="G28" s="33" t="n"/>
      <c r="H28" s="33" t="n"/>
      <c r="I28" s="31" t="n"/>
      <c r="J28" s="53" t="n"/>
      <c r="K28" s="54" t="n"/>
    </row>
    <row r="29" ht="12.75" customHeight="1" s="90">
      <c r="A29" s="46" t="n"/>
      <c r="B29" s="47" t="n"/>
      <c r="C29" s="32" t="inlineStr">
        <is>
          <t>Capacidade de análise crítica</t>
        </is>
      </c>
      <c r="D29" s="33" t="n"/>
      <c r="E29" s="33" t="n"/>
      <c r="F29" s="33" t="n"/>
      <c r="G29" s="33" t="n"/>
      <c r="H29" s="33" t="n"/>
      <c r="I29" s="31" t="n"/>
      <c r="J29" s="53" t="n"/>
      <c r="K29" s="54" t="n"/>
    </row>
    <row r="30" ht="12.75" customHeight="1" s="90">
      <c r="A30" s="48" t="n"/>
      <c r="B30" s="49" t="n"/>
      <c r="C30" s="32" t="inlineStr">
        <is>
          <t>Sentido de responsabilidade e gestão do tempo</t>
        </is>
      </c>
      <c r="D30" s="33" t="n"/>
      <c r="E30" s="33" t="n"/>
      <c r="F30" s="33" t="n"/>
      <c r="G30" s="33" t="n"/>
      <c r="H30" s="33" t="n"/>
      <c r="I30" s="31" t="n"/>
      <c r="J30" s="55" t="n"/>
      <c r="K30" s="56" t="n"/>
    </row>
    <row r="31" ht="7.5" customHeight="1" s="90">
      <c r="A31" s="4" t="n"/>
    </row>
    <row r="32" ht="15" customHeight="1" s="90">
      <c r="A32" s="40" t="inlineStr">
        <is>
          <t>C – Apresentação e Defesa do Projecto</t>
        </is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1" t="n"/>
    </row>
    <row r="33" ht="15" customHeight="1" s="90">
      <c r="A33" s="36" t="inlineStr">
        <is>
          <t>Cotação máxima</t>
        </is>
      </c>
      <c r="B33" s="31" t="n"/>
      <c r="C33" s="36" t="inlineStr">
        <is>
          <t>Itens avaliados</t>
        </is>
      </c>
      <c r="D33" s="33" t="n"/>
      <c r="E33" s="33" t="n"/>
      <c r="F33" s="33" t="n"/>
      <c r="G33" s="33" t="n"/>
      <c r="H33" s="33" t="n"/>
      <c r="I33" s="31" t="n"/>
      <c r="J33" s="36" t="inlineStr">
        <is>
          <t>Cotação atribuída</t>
        </is>
      </c>
      <c r="K33" s="31" t="n"/>
    </row>
    <row r="34" ht="12.75" customHeight="1" s="90">
      <c r="A34" s="36" t="n">
        <v>60</v>
      </c>
      <c r="B34" s="45" t="n"/>
      <c r="C34" s="32" t="inlineStr">
        <is>
          <t xml:space="preserve">Capacidade de expressão oral e de expressão corporal </t>
        </is>
      </c>
      <c r="D34" s="33" t="n"/>
      <c r="E34" s="33" t="n"/>
      <c r="F34" s="33" t="n"/>
      <c r="G34" s="33" t="n"/>
      <c r="H34" s="33" t="n"/>
      <c r="I34" s="31" t="n"/>
      <c r="J34" s="51">
        <f>'Avaliação'!S35*3</f>
        <v/>
      </c>
      <c r="K34" s="52" t="n"/>
    </row>
    <row r="35" ht="12.75" customHeight="1" s="90">
      <c r="A35" s="46" t="n"/>
      <c r="B35" s="47" t="n"/>
      <c r="C35" s="32" t="inlineStr">
        <is>
          <t>Capacidade de síntese</t>
        </is>
      </c>
      <c r="D35" s="33" t="n"/>
      <c r="E35" s="33" t="n"/>
      <c r="F35" s="33" t="n"/>
      <c r="G35" s="33" t="n"/>
      <c r="H35" s="33" t="n"/>
      <c r="I35" s="31" t="n"/>
      <c r="J35" s="53" t="n"/>
      <c r="K35" s="54" t="n"/>
    </row>
    <row r="36" ht="12.75" customHeight="1" s="90">
      <c r="A36" s="46" t="n"/>
      <c r="B36" s="47" t="n"/>
      <c r="C36" s="32" t="inlineStr">
        <is>
          <t>Qualidade dos recursos/estratégias utilizadas na apresentação</t>
        </is>
      </c>
      <c r="D36" s="33" t="n"/>
      <c r="E36" s="33" t="n"/>
      <c r="F36" s="33" t="n"/>
      <c r="G36" s="33" t="n"/>
      <c r="H36" s="33" t="n"/>
      <c r="I36" s="31" t="n"/>
      <c r="J36" s="53" t="n"/>
      <c r="K36" s="54" t="n"/>
      <c r="M36" s="10" t="n"/>
    </row>
    <row r="37" ht="12.75" customHeight="1" s="90">
      <c r="A37" s="48" t="n"/>
      <c r="B37" s="49" t="n"/>
      <c r="C37" s="32" t="inlineStr">
        <is>
          <t>Qualidade de argumentação na defesa do projeto</t>
        </is>
      </c>
      <c r="D37" s="33" t="n"/>
      <c r="E37" s="33" t="n"/>
      <c r="F37" s="33" t="n"/>
      <c r="G37" s="33" t="n"/>
      <c r="H37" s="33" t="n"/>
      <c r="I37" s="31" t="n"/>
      <c r="J37" s="55" t="n"/>
      <c r="K37" s="56" t="n"/>
    </row>
    <row r="38" ht="7.5" customHeight="1" s="90">
      <c r="A38" s="6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 ht="19.5" customHeight="1" s="90">
      <c r="A39" s="39">
        <f>SUM(A16,A26,A34)</f>
        <v/>
      </c>
      <c r="B39" s="31" t="n"/>
      <c r="C39" s="39" t="inlineStr">
        <is>
          <t>Avaliação Final</t>
        </is>
      </c>
      <c r="D39" s="33" t="n"/>
      <c r="E39" s="33" t="n"/>
      <c r="F39" s="33" t="n"/>
      <c r="G39" s="33" t="n"/>
      <c r="H39" s="33" t="n"/>
      <c r="I39" s="31" t="n"/>
      <c r="J39" s="30">
        <f>ROUND(SUM(J16,J26,J34),0)</f>
        <v/>
      </c>
      <c r="K39" s="31" t="n"/>
    </row>
    <row r="40" ht="7.5" customHeight="1" s="90">
      <c r="A40" s="4" t="n"/>
    </row>
    <row r="41" ht="12.75" customHeight="1" s="90">
      <c r="A41" s="40" t="inlineStr">
        <is>
          <t>Observações:</t>
        </is>
      </c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1" t="n"/>
    </row>
    <row r="42" ht="12.75" customHeight="1" s="90">
      <c r="A42" s="58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2" t="n"/>
    </row>
    <row r="43" ht="12.75" customHeight="1" s="90">
      <c r="A43" s="53" t="n"/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54" t="n"/>
    </row>
    <row r="44" ht="12.75" customHeight="1" s="90">
      <c r="A44" s="53" t="n"/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54" t="n"/>
    </row>
    <row r="45" ht="12.75" customHeight="1" s="90">
      <c r="A45" s="53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54" t="n"/>
    </row>
    <row r="46" ht="12.75" customHeight="1" s="90">
      <c r="A46" s="55" t="n"/>
      <c r="B46" s="60" t="n"/>
      <c r="C46" s="60" t="n"/>
      <c r="D46" s="60" t="n"/>
      <c r="E46" s="60" t="n"/>
      <c r="F46" s="60" t="n"/>
      <c r="G46" s="60" t="n"/>
      <c r="H46" s="60" t="n"/>
      <c r="I46" s="60" t="n"/>
      <c r="J46" s="60" t="n"/>
      <c r="K46" s="56" t="n"/>
    </row>
    <row r="47" ht="7.5" customHeight="1" s="90">
      <c r="A47" s="5" t="n"/>
    </row>
    <row r="48" ht="12.75" customHeight="1" s="90">
      <c r="B48" s="5" t="n"/>
      <c r="C48" s="44" t="inlineStr">
        <is>
          <t xml:space="preserve">Caldas da Rainha, </t>
        </is>
      </c>
      <c r="F48" s="5" t="n"/>
      <c r="G48" s="61">
        <f>NOW()</f>
        <v/>
      </c>
      <c r="J48" s="5" t="n"/>
      <c r="K48" s="5" t="n"/>
    </row>
    <row r="49" ht="7.5" customHeight="1" s="90">
      <c r="A49" s="5" t="n"/>
    </row>
    <row r="50" ht="12.75" customHeight="1" s="90">
      <c r="A50" s="5" t="n"/>
      <c r="E50" s="50" t="inlineStr">
        <is>
          <t>O Júri da Prova</t>
        </is>
      </c>
    </row>
    <row r="51" ht="7.5" customHeight="1" s="90">
      <c r="A51" s="5" t="n"/>
    </row>
    <row r="52" ht="12.75" customHeight="1" s="90">
      <c r="A52" s="35" t="inlineStr">
        <is>
          <t>Qualidade em que está nomeado</t>
        </is>
      </c>
      <c r="B52" s="33" t="n"/>
      <c r="C52" s="33" t="n"/>
      <c r="D52" s="33" t="n"/>
      <c r="E52" s="31" t="n"/>
      <c r="G52" s="35" t="inlineStr">
        <is>
          <t>Assinatura</t>
        </is>
      </c>
      <c r="H52" s="33" t="n"/>
      <c r="I52" s="33" t="n"/>
      <c r="J52" s="33" t="n"/>
      <c r="K52" s="31" t="n"/>
    </row>
    <row r="53" ht="22.5" customHeight="1" s="90">
      <c r="A53" s="32" t="inlineStr">
        <is>
          <t>Presidente do Júri</t>
        </is>
      </c>
      <c r="B53" s="33" t="n"/>
      <c r="C53" s="33" t="n"/>
      <c r="D53" s="33" t="n"/>
      <c r="E53" s="31" t="n"/>
      <c r="G53" s="34" t="n"/>
      <c r="H53" s="33" t="n"/>
      <c r="I53" s="33" t="n"/>
      <c r="J53" s="33" t="n"/>
      <c r="K53" s="31" t="n"/>
    </row>
    <row r="54" ht="22.5" customHeight="1" s="90">
      <c r="A54" s="32" t="inlineStr">
        <is>
          <t>Professor Orientador do Projeto</t>
        </is>
      </c>
      <c r="B54" s="33" t="n"/>
      <c r="C54" s="33" t="n"/>
      <c r="D54" s="33" t="n"/>
      <c r="E54" s="31" t="n"/>
      <c r="G54" s="34" t="n"/>
      <c r="H54" s="33" t="n"/>
      <c r="I54" s="33" t="n"/>
      <c r="J54" s="33" t="n"/>
      <c r="K54" s="31" t="n"/>
    </row>
    <row r="55" ht="22.5" customHeight="1" s="90">
      <c r="A55" s="32" t="inlineStr">
        <is>
          <t>Representante das Associações Empresariais</t>
        </is>
      </c>
      <c r="B55" s="33" t="n"/>
      <c r="C55" s="33" t="n"/>
      <c r="D55" s="33" t="n"/>
      <c r="E55" s="31" t="n"/>
      <c r="G55" s="34" t="n"/>
      <c r="H55" s="33" t="n"/>
      <c r="I55" s="33" t="n"/>
      <c r="J55" s="33" t="n"/>
      <c r="K55" s="31" t="n"/>
    </row>
    <row r="56" ht="22.5" customHeight="1" s="90">
      <c r="A56" s="32" t="inlineStr">
        <is>
          <t>Personalidade de reconhecido mérito</t>
        </is>
      </c>
      <c r="B56" s="33" t="n"/>
      <c r="C56" s="33" t="n"/>
      <c r="D56" s="33" t="n"/>
      <c r="E56" s="31" t="n"/>
      <c r="G56" s="34" t="n"/>
      <c r="H56" s="33" t="n"/>
      <c r="I56" s="33" t="n"/>
      <c r="J56" s="33" t="n"/>
      <c r="K56" s="31" t="n"/>
    </row>
  </sheetData>
  <mergeCells count="60">
    <mergeCell ref="J39:K39"/>
    <mergeCell ref="C36:I36"/>
    <mergeCell ref="G56:K56"/>
    <mergeCell ref="G52:K52"/>
    <mergeCell ref="A15:B15"/>
    <mergeCell ref="D9:J9"/>
    <mergeCell ref="C17:I17"/>
    <mergeCell ref="C39:I39"/>
    <mergeCell ref="D8:J8"/>
    <mergeCell ref="A24:K24"/>
    <mergeCell ref="A12:C12"/>
    <mergeCell ref="C19:I19"/>
    <mergeCell ref="C37:I37"/>
    <mergeCell ref="A6:K6"/>
    <mergeCell ref="C28:I28"/>
    <mergeCell ref="C18:I18"/>
    <mergeCell ref="A25:B25"/>
    <mergeCell ref="A54:E54"/>
    <mergeCell ref="A8:C8"/>
    <mergeCell ref="J15:K15"/>
    <mergeCell ref="A41:K41"/>
    <mergeCell ref="C34:I34"/>
    <mergeCell ref="C48:E48"/>
    <mergeCell ref="C30:I30"/>
    <mergeCell ref="G53:K53"/>
    <mergeCell ref="C15:I15"/>
    <mergeCell ref="C33:I33"/>
    <mergeCell ref="A56:E56"/>
    <mergeCell ref="A10:C10"/>
    <mergeCell ref="A55:E55"/>
    <mergeCell ref="A34:B37"/>
    <mergeCell ref="C26:I26"/>
    <mergeCell ref="A33:B33"/>
    <mergeCell ref="C35:I35"/>
    <mergeCell ref="J25:K25"/>
    <mergeCell ref="C20:I20"/>
    <mergeCell ref="E50:G50"/>
    <mergeCell ref="C29:I29"/>
    <mergeCell ref="C16:I16"/>
    <mergeCell ref="A32:K32"/>
    <mergeCell ref="A14:K14"/>
    <mergeCell ref="J26:K30"/>
    <mergeCell ref="C25:I25"/>
    <mergeCell ref="G55:K55"/>
    <mergeCell ref="A16:B22"/>
    <mergeCell ref="A53:E53"/>
    <mergeCell ref="C22:I22"/>
    <mergeCell ref="A11:C11"/>
    <mergeCell ref="A4:K4"/>
    <mergeCell ref="A52:E52"/>
    <mergeCell ref="J16:K22"/>
    <mergeCell ref="C21:I21"/>
    <mergeCell ref="J34:K37"/>
    <mergeCell ref="A26:B30"/>
    <mergeCell ref="A42:K46"/>
    <mergeCell ref="J33:K33"/>
    <mergeCell ref="G54:K54"/>
    <mergeCell ref="G48:I48"/>
    <mergeCell ref="C27:I27"/>
    <mergeCell ref="A39:B39"/>
  </mergeCells>
  <conditionalFormatting sqref="J16:K22 J34:K37">
    <cfRule type="cellIs" priority="1" operator="greaterThan" dxfId="0" stopIfTrue="1">
      <formula>$A$16</formula>
    </cfRule>
  </conditionalFormatting>
  <conditionalFormatting sqref="J26:K30">
    <cfRule type="cellIs" priority="2" operator="greaterThan" dxfId="0" stopIfTrue="1">
      <formula>$A$26</formula>
    </cfRule>
  </conditionalFormatting>
  <conditionalFormatting sqref="J39:K39">
    <cfRule type="cellIs" priority="3" operator="greaterThan" dxfId="0" stopIfTrue="1">
      <formula>200</formula>
    </cfRule>
  </conditionalFormatting>
  <dataValidations count="3">
    <dataValidation sqref="D10" showDropDown="0" showInputMessage="0" showErrorMessage="0" allowBlank="1" errorTitle="Valor inválido" error="Seleccione um valor da lista." type="list">
      <formula1>='Auxiliar'!$B$6:$B$8</formula1>
    </dataValidation>
    <dataValidation sqref="D12" showDropDown="0" showInputMessage="0" showErrorMessage="0" allowBlank="1" errorTitle="Valor inválido" error="Seleccione um valor da lista." type="list">
      <formula1>='Auxiliar'!$D$6:$D$8</formula1>
    </dataValidation>
    <dataValidation sqref="D11" showDropDown="0" showInputMessage="0" showErrorMessage="0" allowBlank="1" errorTitle="Valor inválido" error="Seleccione um valor da lista." type="list">
      <formula1>='Auxiliar'!$B$16:$B$18</formula1>
    </dataValidation>
  </dataValidations>
  <printOptions horizontalCentered="1"/>
  <pageMargins left="0.984251968503937" right="0.5905511811023623" top="0.5905511811023623" bottom="0.5905511811023623" header="0" footer="0"/>
  <pageSetup orientation="portrait" paperSize="9" scale="94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2:M56"/>
  <sheetViews>
    <sheetView zoomScale="150" zoomScaleNormal="150" workbookViewId="0">
      <selection activeCell="B57" sqref="B57"/>
    </sheetView>
  </sheetViews>
  <sheetFormatPr baseColWidth="8" defaultColWidth="9.140625" defaultRowHeight="12.75" customHeight="1"/>
  <cols>
    <col width="8.5703125" customWidth="1" style="42" min="1" max="5"/>
    <col width="2" customWidth="1" style="42" min="6" max="6"/>
    <col width="8.5703125" customWidth="1" style="42" min="7" max="11"/>
    <col width="9.140625" customWidth="1" style="42" min="12" max="16"/>
    <col width="9.140625" customWidth="1" style="42" min="17" max="16384"/>
  </cols>
  <sheetData>
    <row r="2" ht="16.9" customHeight="1" s="90">
      <c r="B2" s="9" t="n"/>
      <c r="C2" s="9" t="n"/>
      <c r="D2" s="9" t="inlineStr">
        <is>
          <t>Agrupamento de Escolas Raul Proença</t>
        </is>
      </c>
      <c r="E2" s="9" t="n"/>
      <c r="F2" s="9" t="n"/>
      <c r="G2" s="9" t="n"/>
      <c r="H2" s="9" t="n"/>
      <c r="I2" s="9" t="n"/>
      <c r="J2" s="9" t="n"/>
      <c r="K2" s="9" t="n"/>
    </row>
    <row r="4" ht="15" customHeight="1" s="90">
      <c r="A4" s="57" t="inlineStr">
        <is>
          <t>Ano letivo 2025/2026</t>
        </is>
      </c>
    </row>
    <row r="5" ht="7.5" customHeight="1" s="90">
      <c r="A5" s="2" t="n"/>
    </row>
    <row r="6" ht="15" customHeight="1" s="90">
      <c r="A6" s="43" t="inlineStr">
        <is>
          <t>Ata de Avaliação da Prova de Aptidão Profissional</t>
        </is>
      </c>
    </row>
    <row r="7" ht="12.75" customHeight="1" s="90">
      <c r="A7" s="3" t="n"/>
    </row>
    <row r="8" ht="12.75" customHeight="1" s="90">
      <c r="A8" s="41" t="inlineStr">
        <is>
          <t>Aluno:</t>
        </is>
      </c>
      <c r="D8" s="96" t="inlineStr">
        <is>
          <t>Hugo Miguel Vieira</t>
        </is>
      </c>
      <c r="E8" s="38" t="n"/>
      <c r="F8" s="38" t="n"/>
      <c r="G8" s="38" t="n"/>
      <c r="H8" s="38" t="n"/>
      <c r="I8" s="38" t="n"/>
      <c r="J8" s="38" t="n"/>
      <c r="K8" s="7" t="n"/>
    </row>
    <row r="9" ht="12.75" customHeight="1" s="90">
      <c r="A9" s="41" t="n"/>
      <c r="B9" s="41" t="n"/>
      <c r="C9" s="41" t="inlineStr">
        <is>
          <t>Tema:</t>
        </is>
      </c>
      <c r="D9" s="96" t="inlineStr">
        <is>
          <t>BladeSlinger - Jogo FPS de Ação com Ondas de Inimigos</t>
        </is>
      </c>
      <c r="E9" s="38" t="n"/>
      <c r="F9" s="38" t="n"/>
      <c r="G9" s="38" t="n"/>
      <c r="H9" s="38" t="n"/>
      <c r="I9" s="38" t="n"/>
      <c r="J9" s="38" t="n"/>
      <c r="K9" s="7" t="n"/>
    </row>
    <row r="10" ht="18" customHeight="1" s="90">
      <c r="A10" s="41" t="inlineStr">
        <is>
          <t>Área de Formação:</t>
        </is>
      </c>
      <c r="D10" s="95" t="inlineStr">
        <is>
          <t>Ciências Informáticas (481)</t>
        </is>
      </c>
      <c r="E10" s="95" t="n"/>
      <c r="F10" s="95" t="n"/>
      <c r="G10" s="95" t="n"/>
      <c r="H10" s="95" t="n"/>
      <c r="I10" s="95" t="n"/>
      <c r="J10" s="95" t="n"/>
      <c r="K10" s="7" t="n"/>
    </row>
    <row r="11" ht="18.75" customHeight="1" s="90">
      <c r="A11" s="41" t="inlineStr">
        <is>
          <t>Curso Profissional:</t>
        </is>
      </c>
      <c r="D11" s="95" t="inlineStr">
        <is>
          <t>Técnico de Gestão e Programação de Sistemas Informáticos</t>
        </is>
      </c>
      <c r="E11" s="95" t="n"/>
      <c r="F11" s="95" t="n"/>
      <c r="G11" s="95" t="n"/>
      <c r="H11" s="95" t="n"/>
      <c r="I11" s="95" t="n"/>
      <c r="J11" s="95" t="n"/>
      <c r="K11" s="7" t="n"/>
    </row>
    <row r="12" ht="18" customHeight="1" s="90">
      <c r="A12" s="41" t="inlineStr">
        <is>
          <t>Saída Profissional:</t>
        </is>
      </c>
      <c r="D12" s="95" t="inlineStr">
        <is>
          <t>Técnico de Gestão e Programação de Sistemas Informáticos</t>
        </is>
      </c>
      <c r="E12" s="95" t="n"/>
      <c r="F12" s="95" t="n"/>
      <c r="G12" s="95" t="n"/>
      <c r="H12" s="95" t="n"/>
      <c r="I12" s="95" t="n"/>
      <c r="J12" s="95" t="n"/>
      <c r="K12" s="7" t="n"/>
    </row>
    <row r="13" ht="7.5" customHeight="1" s="90">
      <c r="A13" s="3" t="n"/>
    </row>
    <row r="14" ht="15" customHeight="1" s="90">
      <c r="A14" s="40" t="inlineStr">
        <is>
          <t>A – Desenvolvimento do Projeto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1" t="n"/>
    </row>
    <row r="15" ht="15" customHeight="1" s="90">
      <c r="A15" s="36" t="inlineStr">
        <is>
          <t>Cotação máxima</t>
        </is>
      </c>
      <c r="B15" s="31" t="n"/>
      <c r="C15" s="36" t="inlineStr">
        <is>
          <t>Itens avaliados</t>
        </is>
      </c>
      <c r="D15" s="33" t="n"/>
      <c r="E15" s="33" t="n"/>
      <c r="F15" s="33" t="n"/>
      <c r="G15" s="33" t="n"/>
      <c r="H15" s="33" t="n"/>
      <c r="I15" s="31" t="n"/>
      <c r="J15" s="36" t="inlineStr">
        <is>
          <t>Cotação atribuída</t>
        </is>
      </c>
      <c r="K15" s="31" t="n"/>
    </row>
    <row r="16" ht="12.75" customHeight="1" s="90">
      <c r="A16" s="36" t="n">
        <v>100</v>
      </c>
      <c r="B16" s="45" t="n"/>
      <c r="C16" s="32" t="inlineStr">
        <is>
          <t>Definição dos objectivos do projeto</t>
        </is>
      </c>
      <c r="D16" s="33" t="n"/>
      <c r="E16" s="33" t="n"/>
      <c r="F16" s="33" t="n"/>
      <c r="G16" s="33" t="n"/>
      <c r="H16" s="33" t="n"/>
      <c r="I16" s="31" t="n"/>
      <c r="J16" s="51">
        <f>'Avaliação'!T22*5</f>
        <v/>
      </c>
      <c r="K16" s="52" t="n"/>
    </row>
    <row r="17" ht="12.75" customHeight="1" s="90">
      <c r="A17" s="46" t="n"/>
      <c r="B17" s="47" t="n"/>
      <c r="C17" s="32" t="inlineStr">
        <is>
          <t>Qualidade científica e técnica</t>
        </is>
      </c>
      <c r="D17" s="33" t="n"/>
      <c r="E17" s="33" t="n"/>
      <c r="F17" s="33" t="n"/>
      <c r="G17" s="33" t="n"/>
      <c r="H17" s="33" t="n"/>
      <c r="I17" s="31" t="n"/>
      <c r="J17" s="53" t="n"/>
      <c r="K17" s="54" t="n"/>
    </row>
    <row r="18" ht="12.75" customHeight="1" s="90">
      <c r="A18" s="46" t="n"/>
      <c r="B18" s="47" t="n"/>
      <c r="C18" s="32" t="inlineStr">
        <is>
          <t>Pertinência, criatividade e inovação</t>
        </is>
      </c>
      <c r="D18" s="33" t="n"/>
      <c r="E18" s="33" t="n"/>
      <c r="F18" s="33" t="n"/>
      <c r="G18" s="33" t="n"/>
      <c r="H18" s="33" t="n"/>
      <c r="I18" s="31" t="n"/>
      <c r="J18" s="53" t="n"/>
      <c r="K18" s="54" t="n"/>
      <c r="M18" s="10" t="n"/>
    </row>
    <row r="19" ht="12.75" customHeight="1" s="90">
      <c r="A19" s="46" t="n"/>
      <c r="B19" s="47" t="n"/>
      <c r="C19" s="32" t="inlineStr">
        <is>
          <t>Planeamento dos recursos necessários</t>
        </is>
      </c>
      <c r="D19" s="33" t="n"/>
      <c r="E19" s="33" t="n"/>
      <c r="F19" s="33" t="n"/>
      <c r="G19" s="33" t="n"/>
      <c r="H19" s="33" t="n"/>
      <c r="I19" s="31" t="n"/>
      <c r="J19" s="53" t="n"/>
      <c r="K19" s="54" t="n"/>
    </row>
    <row r="20" ht="12.75" customHeight="1" s="90">
      <c r="A20" s="46" t="n"/>
      <c r="B20" s="47" t="n"/>
      <c r="C20" s="32" t="inlineStr">
        <is>
          <t>Definição das fases de execução do projeto</t>
        </is>
      </c>
      <c r="D20" s="33" t="n"/>
      <c r="E20" s="33" t="n"/>
      <c r="F20" s="33" t="n"/>
      <c r="G20" s="33" t="n"/>
      <c r="H20" s="33" t="n"/>
      <c r="I20" s="31" t="n"/>
      <c r="J20" s="53" t="n"/>
      <c r="K20" s="54" t="n"/>
    </row>
    <row r="21" ht="12.75" customHeight="1" s="90">
      <c r="A21" s="46" t="n"/>
      <c r="B21" s="47" t="n"/>
      <c r="C21" s="32" t="inlineStr">
        <is>
          <t>Autonomia</t>
        </is>
      </c>
      <c r="D21" s="33" t="n"/>
      <c r="E21" s="33" t="n"/>
      <c r="F21" s="33" t="n"/>
      <c r="G21" s="33" t="n"/>
      <c r="H21" s="33" t="n"/>
      <c r="I21" s="31" t="n"/>
      <c r="J21" s="53" t="n"/>
      <c r="K21" s="54" t="n"/>
    </row>
    <row r="22" ht="12.75" customHeight="1" s="90">
      <c r="A22" s="48" t="n"/>
      <c r="B22" s="49" t="n"/>
      <c r="C22" s="32" t="inlineStr">
        <is>
          <t>Sentido de responsabilidade e gestão do tempo</t>
        </is>
      </c>
      <c r="D22" s="33" t="n"/>
      <c r="E22" s="33" t="n"/>
      <c r="F22" s="33" t="n"/>
      <c r="G22" s="33" t="n"/>
      <c r="H22" s="33" t="n"/>
      <c r="I22" s="31" t="n"/>
      <c r="J22" s="55" t="n"/>
      <c r="K22" s="56" t="n"/>
    </row>
    <row r="23" ht="7.5" customHeight="1" s="90">
      <c r="A23" s="4" t="n"/>
    </row>
    <row r="24" ht="15" customHeight="1" s="90">
      <c r="A24" s="40" t="inlineStr">
        <is>
          <t>B – Relatório final</t>
        </is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1" t="n"/>
    </row>
    <row r="25" ht="15" customHeight="1" s="90">
      <c r="A25" s="36" t="inlineStr">
        <is>
          <t>Cotação máxima</t>
        </is>
      </c>
      <c r="B25" s="31" t="n"/>
      <c r="C25" s="36" t="inlineStr">
        <is>
          <t>Itens avaliados</t>
        </is>
      </c>
      <c r="D25" s="33" t="n"/>
      <c r="E25" s="33" t="n"/>
      <c r="F25" s="33" t="n"/>
      <c r="G25" s="33" t="n"/>
      <c r="H25" s="33" t="n"/>
      <c r="I25" s="31" t="n"/>
      <c r="J25" s="36" t="inlineStr">
        <is>
          <t>Cotação atribuída</t>
        </is>
      </c>
      <c r="K25" s="31" t="n"/>
    </row>
    <row r="26" ht="12.75" customHeight="1" s="90">
      <c r="A26" s="36" t="n">
        <v>40</v>
      </c>
      <c r="B26" s="45" t="n"/>
      <c r="C26" s="32" t="inlineStr">
        <is>
          <t>Objetividade</t>
        </is>
      </c>
      <c r="D26" s="33" t="n"/>
      <c r="E26" s="33" t="n"/>
      <c r="F26" s="33" t="n"/>
      <c r="G26" s="33" t="n"/>
      <c r="H26" s="33" t="n"/>
      <c r="I26" s="31" t="n"/>
      <c r="J26" s="51">
        <f>'Avaliação'!T29*2</f>
        <v/>
      </c>
      <c r="K26" s="52" t="n"/>
    </row>
    <row r="27" ht="12.75" customHeight="1" s="90">
      <c r="A27" s="46" t="n"/>
      <c r="B27" s="47" t="n"/>
      <c r="C27" s="32" t="inlineStr">
        <is>
          <t>Pertinência das informações</t>
        </is>
      </c>
      <c r="D27" s="33" t="n"/>
      <c r="E27" s="33" t="n"/>
      <c r="F27" s="33" t="n"/>
      <c r="G27" s="33" t="n"/>
      <c r="H27" s="33" t="n"/>
      <c r="I27" s="31" t="n"/>
      <c r="J27" s="53" t="n"/>
      <c r="K27" s="54" t="n"/>
      <c r="M27" s="10" t="n"/>
    </row>
    <row r="28" ht="12.75" customHeight="1" s="90">
      <c r="A28" s="46" t="n"/>
      <c r="B28" s="47" t="n"/>
      <c r="C28" s="32" t="inlineStr">
        <is>
          <t>Identificação das dificuldades e meios de as superar</t>
        </is>
      </c>
      <c r="D28" s="33" t="n"/>
      <c r="E28" s="33" t="n"/>
      <c r="F28" s="33" t="n"/>
      <c r="G28" s="33" t="n"/>
      <c r="H28" s="33" t="n"/>
      <c r="I28" s="31" t="n"/>
      <c r="J28" s="53" t="n"/>
      <c r="K28" s="54" t="n"/>
    </row>
    <row r="29" ht="12.75" customHeight="1" s="90">
      <c r="A29" s="46" t="n"/>
      <c r="B29" s="47" t="n"/>
      <c r="C29" s="32" t="inlineStr">
        <is>
          <t>Capacidade de análise crítica</t>
        </is>
      </c>
      <c r="D29" s="33" t="n"/>
      <c r="E29" s="33" t="n"/>
      <c r="F29" s="33" t="n"/>
      <c r="G29" s="33" t="n"/>
      <c r="H29" s="33" t="n"/>
      <c r="I29" s="31" t="n"/>
      <c r="J29" s="53" t="n"/>
      <c r="K29" s="54" t="n"/>
    </row>
    <row r="30" ht="12.75" customHeight="1" s="90">
      <c r="A30" s="48" t="n"/>
      <c r="B30" s="49" t="n"/>
      <c r="C30" s="32" t="inlineStr">
        <is>
          <t>Sentido de responsabilidade e gestão do tempo</t>
        </is>
      </c>
      <c r="D30" s="33" t="n"/>
      <c r="E30" s="33" t="n"/>
      <c r="F30" s="33" t="n"/>
      <c r="G30" s="33" t="n"/>
      <c r="H30" s="33" t="n"/>
      <c r="I30" s="31" t="n"/>
      <c r="J30" s="55" t="n"/>
      <c r="K30" s="56" t="n"/>
    </row>
    <row r="31" ht="7.5" customHeight="1" s="90">
      <c r="A31" s="4" t="n"/>
    </row>
    <row r="32" ht="15" customHeight="1" s="90">
      <c r="A32" s="40" t="inlineStr">
        <is>
          <t>C – Apresentação e Defesa do Projecto</t>
        </is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1" t="n"/>
    </row>
    <row r="33" ht="15" customHeight="1" s="90">
      <c r="A33" s="36" t="inlineStr">
        <is>
          <t>Cotação máxima</t>
        </is>
      </c>
      <c r="B33" s="31" t="n"/>
      <c r="C33" s="36" t="inlineStr">
        <is>
          <t>Itens avaliados</t>
        </is>
      </c>
      <c r="D33" s="33" t="n"/>
      <c r="E33" s="33" t="n"/>
      <c r="F33" s="33" t="n"/>
      <c r="G33" s="33" t="n"/>
      <c r="H33" s="33" t="n"/>
      <c r="I33" s="31" t="n"/>
      <c r="J33" s="36" t="inlineStr">
        <is>
          <t>Cotação atribuída</t>
        </is>
      </c>
      <c r="K33" s="31" t="n"/>
    </row>
    <row r="34" ht="12.75" customHeight="1" s="90">
      <c r="A34" s="36" t="n">
        <v>60</v>
      </c>
      <c r="B34" s="45" t="n"/>
      <c r="C34" s="32" t="inlineStr">
        <is>
          <t xml:space="preserve">Capacidade de expressão oral e de expressão corporal </t>
        </is>
      </c>
      <c r="D34" s="33" t="n"/>
      <c r="E34" s="33" t="n"/>
      <c r="F34" s="33" t="n"/>
      <c r="G34" s="33" t="n"/>
      <c r="H34" s="33" t="n"/>
      <c r="I34" s="31" t="n"/>
      <c r="J34" s="51">
        <f>'Avaliação'!T35*3</f>
        <v/>
      </c>
      <c r="K34" s="52" t="n"/>
    </row>
    <row r="35" ht="12.75" customHeight="1" s="90">
      <c r="A35" s="46" t="n"/>
      <c r="B35" s="47" t="n"/>
      <c r="C35" s="32" t="inlineStr">
        <is>
          <t>Capacidade de síntese</t>
        </is>
      </c>
      <c r="D35" s="33" t="n"/>
      <c r="E35" s="33" t="n"/>
      <c r="F35" s="33" t="n"/>
      <c r="G35" s="33" t="n"/>
      <c r="H35" s="33" t="n"/>
      <c r="I35" s="31" t="n"/>
      <c r="J35" s="53" t="n"/>
      <c r="K35" s="54" t="n"/>
    </row>
    <row r="36" ht="12.75" customHeight="1" s="90">
      <c r="A36" s="46" t="n"/>
      <c r="B36" s="47" t="n"/>
      <c r="C36" s="32" t="inlineStr">
        <is>
          <t>Qualidade dos recursos/estratégias utilizadas na apresentação</t>
        </is>
      </c>
      <c r="D36" s="33" t="n"/>
      <c r="E36" s="33" t="n"/>
      <c r="F36" s="33" t="n"/>
      <c r="G36" s="33" t="n"/>
      <c r="H36" s="33" t="n"/>
      <c r="I36" s="31" t="n"/>
      <c r="J36" s="53" t="n"/>
      <c r="K36" s="54" t="n"/>
      <c r="M36" s="10" t="n"/>
    </row>
    <row r="37" ht="12.75" customHeight="1" s="90">
      <c r="A37" s="48" t="n"/>
      <c r="B37" s="49" t="n"/>
      <c r="C37" s="32" t="inlineStr">
        <is>
          <t>Qualidade de argumentação na defesa do projeto</t>
        </is>
      </c>
      <c r="D37" s="33" t="n"/>
      <c r="E37" s="33" t="n"/>
      <c r="F37" s="33" t="n"/>
      <c r="G37" s="33" t="n"/>
      <c r="H37" s="33" t="n"/>
      <c r="I37" s="31" t="n"/>
      <c r="J37" s="55" t="n"/>
      <c r="K37" s="56" t="n"/>
    </row>
    <row r="38" ht="7.5" customHeight="1" s="90">
      <c r="A38" s="6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 ht="19.5" customHeight="1" s="90">
      <c r="A39" s="39">
        <f>SUM(A16,A26,A34)</f>
        <v/>
      </c>
      <c r="B39" s="31" t="n"/>
      <c r="C39" s="39" t="inlineStr">
        <is>
          <t>Avaliação Final</t>
        </is>
      </c>
      <c r="D39" s="33" t="n"/>
      <c r="E39" s="33" t="n"/>
      <c r="F39" s="33" t="n"/>
      <c r="G39" s="33" t="n"/>
      <c r="H39" s="33" t="n"/>
      <c r="I39" s="31" t="n"/>
      <c r="J39" s="30">
        <f>ROUND(SUM(J16,J26,J34),0)</f>
        <v/>
      </c>
      <c r="K39" s="31" t="n"/>
    </row>
    <row r="40" ht="7.5" customHeight="1" s="90">
      <c r="A40" s="4" t="n"/>
    </row>
    <row r="41" ht="12.75" customHeight="1" s="90">
      <c r="A41" s="40" t="inlineStr">
        <is>
          <t>Observações:</t>
        </is>
      </c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1" t="n"/>
    </row>
    <row r="42" ht="12.75" customHeight="1" s="90">
      <c r="A42" s="58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2" t="n"/>
    </row>
    <row r="43" ht="12.75" customHeight="1" s="90">
      <c r="A43" s="53" t="n"/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54" t="n"/>
    </row>
    <row r="44" ht="12.75" customHeight="1" s="90">
      <c r="A44" s="53" t="n"/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54" t="n"/>
    </row>
    <row r="45" ht="12.75" customHeight="1" s="90">
      <c r="A45" s="53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54" t="n"/>
    </row>
    <row r="46" ht="12.75" customHeight="1" s="90">
      <c r="A46" s="55" t="n"/>
      <c r="B46" s="60" t="n"/>
      <c r="C46" s="60" t="n"/>
      <c r="D46" s="60" t="n"/>
      <c r="E46" s="60" t="n"/>
      <c r="F46" s="60" t="n"/>
      <c r="G46" s="60" t="n"/>
      <c r="H46" s="60" t="n"/>
      <c r="I46" s="60" t="n"/>
      <c r="J46" s="60" t="n"/>
      <c r="K46" s="56" t="n"/>
    </row>
    <row r="47" ht="7.5" customHeight="1" s="90">
      <c r="A47" s="5" t="n"/>
    </row>
    <row r="48" ht="12.75" customHeight="1" s="90">
      <c r="B48" s="5" t="n"/>
      <c r="C48" s="44" t="inlineStr">
        <is>
          <t xml:space="preserve">Caldas da Rainha, </t>
        </is>
      </c>
      <c r="F48" s="5" t="n"/>
      <c r="G48" s="61">
        <f>NOW()</f>
        <v/>
      </c>
      <c r="J48" s="5" t="n"/>
      <c r="K48" s="5" t="n"/>
    </row>
    <row r="49" ht="7.5" customHeight="1" s="90">
      <c r="A49" s="5" t="n"/>
    </row>
    <row r="50" ht="12.75" customHeight="1" s="90">
      <c r="A50" s="5" t="n"/>
      <c r="E50" s="50" t="inlineStr">
        <is>
          <t>O Júri da Prova</t>
        </is>
      </c>
    </row>
    <row r="51" ht="7.5" customHeight="1" s="90">
      <c r="A51" s="5" t="n"/>
    </row>
    <row r="52" ht="12.75" customHeight="1" s="90">
      <c r="A52" s="35" t="inlineStr">
        <is>
          <t>Qualidade em que está nomeado</t>
        </is>
      </c>
      <c r="B52" s="33" t="n"/>
      <c r="C52" s="33" t="n"/>
      <c r="D52" s="33" t="n"/>
      <c r="E52" s="31" t="n"/>
      <c r="G52" s="35" t="inlineStr">
        <is>
          <t>Assinatura</t>
        </is>
      </c>
      <c r="H52" s="33" t="n"/>
      <c r="I52" s="33" t="n"/>
      <c r="J52" s="33" t="n"/>
      <c r="K52" s="31" t="n"/>
    </row>
    <row r="53" ht="22.5" customHeight="1" s="90">
      <c r="A53" s="32" t="inlineStr">
        <is>
          <t>Presidente do Júri</t>
        </is>
      </c>
      <c r="B53" s="33" t="n"/>
      <c r="C53" s="33" t="n"/>
      <c r="D53" s="33" t="n"/>
      <c r="E53" s="31" t="n"/>
      <c r="G53" s="34" t="n"/>
      <c r="H53" s="33" t="n"/>
      <c r="I53" s="33" t="n"/>
      <c r="J53" s="33" t="n"/>
      <c r="K53" s="31" t="n"/>
    </row>
    <row r="54" ht="22.5" customHeight="1" s="90">
      <c r="A54" s="32" t="inlineStr">
        <is>
          <t>Professor Orientador do Projeto</t>
        </is>
      </c>
      <c r="B54" s="33" t="n"/>
      <c r="C54" s="33" t="n"/>
      <c r="D54" s="33" t="n"/>
      <c r="E54" s="31" t="n"/>
      <c r="G54" s="34" t="n"/>
      <c r="H54" s="33" t="n"/>
      <c r="I54" s="33" t="n"/>
      <c r="J54" s="33" t="n"/>
      <c r="K54" s="31" t="n"/>
    </row>
    <row r="55" ht="22.5" customHeight="1" s="90">
      <c r="A55" s="32" t="inlineStr">
        <is>
          <t>Representante das Associações Empresariais</t>
        </is>
      </c>
      <c r="B55" s="33" t="n"/>
      <c r="C55" s="33" t="n"/>
      <c r="D55" s="33" t="n"/>
      <c r="E55" s="31" t="n"/>
      <c r="G55" s="34" t="n"/>
      <c r="H55" s="33" t="n"/>
      <c r="I55" s="33" t="n"/>
      <c r="J55" s="33" t="n"/>
      <c r="K55" s="31" t="n"/>
    </row>
    <row r="56" ht="22.5" customHeight="1" s="90">
      <c r="A56" s="32" t="inlineStr">
        <is>
          <t>Personalidade de reconhecido mérito</t>
        </is>
      </c>
      <c r="B56" s="33" t="n"/>
      <c r="C56" s="33" t="n"/>
      <c r="D56" s="33" t="n"/>
      <c r="E56" s="31" t="n"/>
      <c r="G56" s="34" t="n"/>
      <c r="H56" s="33" t="n"/>
      <c r="I56" s="33" t="n"/>
      <c r="J56" s="33" t="n"/>
      <c r="K56" s="31" t="n"/>
    </row>
  </sheetData>
  <mergeCells count="60">
    <mergeCell ref="J39:K39"/>
    <mergeCell ref="C36:I36"/>
    <mergeCell ref="G56:K56"/>
    <mergeCell ref="G52:K52"/>
    <mergeCell ref="A15:B15"/>
    <mergeCell ref="D9:J9"/>
    <mergeCell ref="C17:I17"/>
    <mergeCell ref="C39:I39"/>
    <mergeCell ref="D8:J8"/>
    <mergeCell ref="A24:K24"/>
    <mergeCell ref="A12:C12"/>
    <mergeCell ref="C19:I19"/>
    <mergeCell ref="C37:I37"/>
    <mergeCell ref="A6:K6"/>
    <mergeCell ref="C28:I28"/>
    <mergeCell ref="C18:I18"/>
    <mergeCell ref="A25:B25"/>
    <mergeCell ref="A54:E54"/>
    <mergeCell ref="A8:C8"/>
    <mergeCell ref="J15:K15"/>
    <mergeCell ref="A41:K41"/>
    <mergeCell ref="C34:I34"/>
    <mergeCell ref="C48:E48"/>
    <mergeCell ref="C30:I30"/>
    <mergeCell ref="G53:K53"/>
    <mergeCell ref="C15:I15"/>
    <mergeCell ref="C33:I33"/>
    <mergeCell ref="A56:E56"/>
    <mergeCell ref="A10:C10"/>
    <mergeCell ref="A55:E55"/>
    <mergeCell ref="A34:B37"/>
    <mergeCell ref="C26:I26"/>
    <mergeCell ref="A33:B33"/>
    <mergeCell ref="C35:I35"/>
    <mergeCell ref="J25:K25"/>
    <mergeCell ref="C20:I20"/>
    <mergeCell ref="E50:G50"/>
    <mergeCell ref="C29:I29"/>
    <mergeCell ref="C16:I16"/>
    <mergeCell ref="A32:K32"/>
    <mergeCell ref="A14:K14"/>
    <mergeCell ref="J26:K30"/>
    <mergeCell ref="C25:I25"/>
    <mergeCell ref="G55:K55"/>
    <mergeCell ref="A16:B22"/>
    <mergeCell ref="A53:E53"/>
    <mergeCell ref="C22:I22"/>
    <mergeCell ref="A11:C11"/>
    <mergeCell ref="A4:K4"/>
    <mergeCell ref="A52:E52"/>
    <mergeCell ref="J16:K22"/>
    <mergeCell ref="C21:I21"/>
    <mergeCell ref="J34:K37"/>
    <mergeCell ref="A26:B30"/>
    <mergeCell ref="A42:K46"/>
    <mergeCell ref="J33:K33"/>
    <mergeCell ref="G54:K54"/>
    <mergeCell ref="G48:I48"/>
    <mergeCell ref="C27:I27"/>
    <mergeCell ref="A39:B39"/>
  </mergeCells>
  <conditionalFormatting sqref="J16:K22 J34:K37">
    <cfRule type="cellIs" priority="1" operator="greaterThan" dxfId="0" stopIfTrue="1">
      <formula>$A$16</formula>
    </cfRule>
  </conditionalFormatting>
  <conditionalFormatting sqref="J26:K30">
    <cfRule type="cellIs" priority="2" operator="greaterThan" dxfId="0" stopIfTrue="1">
      <formula>$A$26</formula>
    </cfRule>
  </conditionalFormatting>
  <conditionalFormatting sqref="J39:K39">
    <cfRule type="cellIs" priority="3" operator="greaterThan" dxfId="0" stopIfTrue="1">
      <formula>200</formula>
    </cfRule>
  </conditionalFormatting>
  <dataValidations count="3">
    <dataValidation sqref="D10" showDropDown="0" showInputMessage="0" showErrorMessage="0" allowBlank="1" errorTitle="Valor inválido" error="Seleccione um valor da lista." type="list">
      <formula1>='Auxiliar'!$B$6:$B$8</formula1>
    </dataValidation>
    <dataValidation sqref="D12" showDropDown="0" showInputMessage="0" showErrorMessage="0" allowBlank="1" errorTitle="Valor inválido" error="Seleccione um valor da lista." type="list">
      <formula1>='Auxiliar'!$D$6:$D$8</formula1>
    </dataValidation>
    <dataValidation sqref="D11" showDropDown="0" showInputMessage="0" showErrorMessage="0" allowBlank="1" errorTitle="Valor inválido" error="Seleccione um valor da lista." type="list">
      <formula1>='Auxiliar'!$B$16:$B$18</formula1>
    </dataValidation>
  </dataValidations>
  <printOptions horizontalCentered="1"/>
  <pageMargins left="0.984251968503937" right="0.5905511811023623" top="0.5905511811023623" bottom="0.5905511811023623" header="0" footer="0"/>
  <pageSetup orientation="portrait" paperSize="9" scale="9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2:M56"/>
  <sheetViews>
    <sheetView zoomScale="150" workbookViewId="0">
      <selection activeCell="B57" sqref="B57"/>
    </sheetView>
  </sheetViews>
  <sheetFormatPr baseColWidth="8" defaultColWidth="9.140625" defaultRowHeight="12.75" customHeight="1"/>
  <cols>
    <col width="8.5703125" customWidth="1" style="42" min="1" max="5"/>
    <col width="2" customWidth="1" style="42" min="6" max="6"/>
    <col width="8.5703125" customWidth="1" style="42" min="7" max="11"/>
    <col width="9.140625" customWidth="1" style="42" min="12" max="16"/>
    <col width="9.140625" customWidth="1" style="42" min="17" max="16384"/>
  </cols>
  <sheetData>
    <row r="2" ht="16.9" customHeight="1" s="90">
      <c r="B2" s="9" t="n"/>
      <c r="C2" s="9" t="n"/>
      <c r="D2" s="9" t="inlineStr">
        <is>
          <t>Agrupamento de Escolas Raul Proença</t>
        </is>
      </c>
      <c r="E2" s="9" t="n"/>
      <c r="F2" s="9" t="n"/>
      <c r="G2" s="9" t="n"/>
      <c r="H2" s="9" t="n"/>
      <c r="I2" s="9" t="n"/>
      <c r="J2" s="9" t="n"/>
      <c r="K2" s="9" t="n"/>
    </row>
    <row r="4" ht="15" customHeight="1" s="90">
      <c r="A4" s="57" t="inlineStr">
        <is>
          <t>Ano letivo 2025/2026</t>
        </is>
      </c>
    </row>
    <row r="5" ht="7.5" customHeight="1" s="90">
      <c r="A5" s="2" t="n"/>
    </row>
    <row r="6" ht="15" customHeight="1" s="90">
      <c r="A6" s="43" t="inlineStr">
        <is>
          <t>Ata de Avaliação da Prova de Aptidão Profissional</t>
        </is>
      </c>
    </row>
    <row r="7" ht="12.75" customHeight="1" s="90">
      <c r="A7" s="3" t="n"/>
    </row>
    <row r="8" ht="12.75" customHeight="1" s="90">
      <c r="A8" s="41" t="inlineStr">
        <is>
          <t>Aluno:</t>
        </is>
      </c>
      <c r="D8" s="96" t="inlineStr">
        <is>
          <t>Kauã Silva Lima</t>
        </is>
      </c>
      <c r="E8" s="38" t="n"/>
      <c r="F8" s="38" t="n"/>
      <c r="G8" s="38" t="n"/>
      <c r="H8" s="38" t="n"/>
      <c r="I8" s="38" t="n"/>
      <c r="J8" s="38" t="n"/>
      <c r="K8" s="7" t="n"/>
    </row>
    <row r="9" ht="12.75" customHeight="1" s="90">
      <c r="A9" s="41" t="n"/>
      <c r="B9" s="41" t="n"/>
      <c r="C9" s="41" t="inlineStr">
        <is>
          <t>Tema:</t>
        </is>
      </c>
      <c r="D9" s="96" t="inlineStr">
        <is>
          <t>RoboRaul - Evento de Robótica para alunos do 1º ciclo (4º ano)</t>
        </is>
      </c>
      <c r="E9" s="38" t="n"/>
      <c r="F9" s="38" t="n"/>
      <c r="G9" s="38" t="n"/>
      <c r="H9" s="38" t="n"/>
      <c r="I9" s="38" t="n"/>
      <c r="J9" s="38" t="n"/>
      <c r="K9" s="7" t="n"/>
    </row>
    <row r="10" ht="18" customHeight="1" s="90">
      <c r="A10" s="41" t="inlineStr">
        <is>
          <t>Área de Formação:</t>
        </is>
      </c>
      <c r="D10" s="95" t="inlineStr">
        <is>
          <t>Ciências Informáticas (481)</t>
        </is>
      </c>
      <c r="E10" s="95" t="n"/>
      <c r="F10" s="95" t="n"/>
      <c r="G10" s="95" t="n"/>
      <c r="H10" s="95" t="n"/>
      <c r="I10" s="95" t="n"/>
      <c r="J10" s="95" t="n"/>
      <c r="K10" s="7" t="n"/>
    </row>
    <row r="11" ht="18.75" customHeight="1" s="90">
      <c r="A11" s="41" t="inlineStr">
        <is>
          <t>Curso Profissional:</t>
        </is>
      </c>
      <c r="D11" s="95" t="inlineStr">
        <is>
          <t>Técnico de Gestão e Programação de Sistemas Informáticos</t>
        </is>
      </c>
      <c r="E11" s="95" t="n"/>
      <c r="F11" s="95" t="n"/>
      <c r="G11" s="95" t="n"/>
      <c r="H11" s="95" t="n"/>
      <c r="I11" s="95" t="n"/>
      <c r="J11" s="95" t="n"/>
      <c r="K11" s="7" t="n"/>
    </row>
    <row r="12" ht="18" customHeight="1" s="90">
      <c r="A12" s="41" t="inlineStr">
        <is>
          <t>Saída Profissional:</t>
        </is>
      </c>
      <c r="D12" s="95" t="inlineStr">
        <is>
          <t>Técnico de Gestão e Programação de Sistemas Informáticos</t>
        </is>
      </c>
      <c r="E12" s="95" t="n"/>
      <c r="F12" s="95" t="n"/>
      <c r="G12" s="95" t="n"/>
      <c r="H12" s="95" t="n"/>
      <c r="I12" s="95" t="n"/>
      <c r="J12" s="95" t="n"/>
      <c r="K12" s="7" t="n"/>
    </row>
    <row r="13" ht="7.5" customHeight="1" s="90">
      <c r="A13" s="3" t="n"/>
    </row>
    <row r="14" ht="15" customHeight="1" s="90">
      <c r="A14" s="40" t="inlineStr">
        <is>
          <t>A – Desenvolvimento do Projeto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1" t="n"/>
    </row>
    <row r="15" ht="15" customHeight="1" s="90">
      <c r="A15" s="36" t="inlineStr">
        <is>
          <t>Cotação máxima</t>
        </is>
      </c>
      <c r="B15" s="31" t="n"/>
      <c r="C15" s="36" t="inlineStr">
        <is>
          <t>Itens avaliados</t>
        </is>
      </c>
      <c r="D15" s="33" t="n"/>
      <c r="E15" s="33" t="n"/>
      <c r="F15" s="33" t="n"/>
      <c r="G15" s="33" t="n"/>
      <c r="H15" s="33" t="n"/>
      <c r="I15" s="31" t="n"/>
      <c r="J15" s="36" t="inlineStr">
        <is>
          <t>Cotação atribuída</t>
        </is>
      </c>
      <c r="K15" s="31" t="n"/>
    </row>
    <row r="16" ht="12.75" customHeight="1" s="90">
      <c r="A16" s="36" t="n">
        <v>100</v>
      </c>
      <c r="B16" s="45" t="n"/>
      <c r="C16" s="32" t="inlineStr">
        <is>
          <t>Definição dos objectivos do projeto</t>
        </is>
      </c>
      <c r="D16" s="33" t="n"/>
      <c r="E16" s="33" t="n"/>
      <c r="F16" s="33" t="n"/>
      <c r="G16" s="33" t="n"/>
      <c r="H16" s="33" t="n"/>
      <c r="I16" s="31" t="n"/>
      <c r="J16" s="51">
        <f>'Avaliação'!U22*5</f>
        <v/>
      </c>
      <c r="K16" s="52" t="n"/>
    </row>
    <row r="17" ht="12.75" customHeight="1" s="90">
      <c r="A17" s="46" t="n"/>
      <c r="B17" s="47" t="n"/>
      <c r="C17" s="32" t="inlineStr">
        <is>
          <t>Qualidade científica e técnica</t>
        </is>
      </c>
      <c r="D17" s="33" t="n"/>
      <c r="E17" s="33" t="n"/>
      <c r="F17" s="33" t="n"/>
      <c r="G17" s="33" t="n"/>
      <c r="H17" s="33" t="n"/>
      <c r="I17" s="31" t="n"/>
      <c r="J17" s="53" t="n"/>
      <c r="K17" s="54" t="n"/>
    </row>
    <row r="18" ht="12.75" customHeight="1" s="90">
      <c r="A18" s="46" t="n"/>
      <c r="B18" s="47" t="n"/>
      <c r="C18" s="32" t="inlineStr">
        <is>
          <t>Pertinência, criatividade e inovação</t>
        </is>
      </c>
      <c r="D18" s="33" t="n"/>
      <c r="E18" s="33" t="n"/>
      <c r="F18" s="33" t="n"/>
      <c r="G18" s="33" t="n"/>
      <c r="H18" s="33" t="n"/>
      <c r="I18" s="31" t="n"/>
      <c r="J18" s="53" t="n"/>
      <c r="K18" s="54" t="n"/>
      <c r="M18" s="10" t="n"/>
    </row>
    <row r="19" ht="12.75" customHeight="1" s="90">
      <c r="A19" s="46" t="n"/>
      <c r="B19" s="47" t="n"/>
      <c r="C19" s="32" t="inlineStr">
        <is>
          <t>Planeamento dos recursos necessários</t>
        </is>
      </c>
      <c r="D19" s="33" t="n"/>
      <c r="E19" s="33" t="n"/>
      <c r="F19" s="33" t="n"/>
      <c r="G19" s="33" t="n"/>
      <c r="H19" s="33" t="n"/>
      <c r="I19" s="31" t="n"/>
      <c r="J19" s="53" t="n"/>
      <c r="K19" s="54" t="n"/>
    </row>
    <row r="20" ht="12.75" customHeight="1" s="90">
      <c r="A20" s="46" t="n"/>
      <c r="B20" s="47" t="n"/>
      <c r="C20" s="32" t="inlineStr">
        <is>
          <t>Definição das fases de execução do projeto</t>
        </is>
      </c>
      <c r="D20" s="33" t="n"/>
      <c r="E20" s="33" t="n"/>
      <c r="F20" s="33" t="n"/>
      <c r="G20" s="33" t="n"/>
      <c r="H20" s="33" t="n"/>
      <c r="I20" s="31" t="n"/>
      <c r="J20" s="53" t="n"/>
      <c r="K20" s="54" t="n"/>
    </row>
    <row r="21" ht="12.75" customHeight="1" s="90">
      <c r="A21" s="46" t="n"/>
      <c r="B21" s="47" t="n"/>
      <c r="C21" s="32" t="inlineStr">
        <is>
          <t>Autonomia</t>
        </is>
      </c>
      <c r="D21" s="33" t="n"/>
      <c r="E21" s="33" t="n"/>
      <c r="F21" s="33" t="n"/>
      <c r="G21" s="33" t="n"/>
      <c r="H21" s="33" t="n"/>
      <c r="I21" s="31" t="n"/>
      <c r="J21" s="53" t="n"/>
      <c r="K21" s="54" t="n"/>
    </row>
    <row r="22" ht="12.75" customHeight="1" s="90">
      <c r="A22" s="48" t="n"/>
      <c r="B22" s="49" t="n"/>
      <c r="C22" s="32" t="inlineStr">
        <is>
          <t>Sentido de responsabilidade e gestão do tempo</t>
        </is>
      </c>
      <c r="D22" s="33" t="n"/>
      <c r="E22" s="33" t="n"/>
      <c r="F22" s="33" t="n"/>
      <c r="G22" s="33" t="n"/>
      <c r="H22" s="33" t="n"/>
      <c r="I22" s="31" t="n"/>
      <c r="J22" s="55" t="n"/>
      <c r="K22" s="56" t="n"/>
    </row>
    <row r="23" ht="7.5" customHeight="1" s="90">
      <c r="A23" s="4" t="n"/>
    </row>
    <row r="24" ht="15" customHeight="1" s="90">
      <c r="A24" s="40" t="inlineStr">
        <is>
          <t>B – Relatório final</t>
        </is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1" t="n"/>
    </row>
    <row r="25" ht="15" customHeight="1" s="90">
      <c r="A25" s="36" t="inlineStr">
        <is>
          <t>Cotação máxima</t>
        </is>
      </c>
      <c r="B25" s="31" t="n"/>
      <c r="C25" s="36" t="inlineStr">
        <is>
          <t>Itens avaliados</t>
        </is>
      </c>
      <c r="D25" s="33" t="n"/>
      <c r="E25" s="33" t="n"/>
      <c r="F25" s="33" t="n"/>
      <c r="G25" s="33" t="n"/>
      <c r="H25" s="33" t="n"/>
      <c r="I25" s="31" t="n"/>
      <c r="J25" s="36" t="inlineStr">
        <is>
          <t>Cotação atribuída</t>
        </is>
      </c>
      <c r="K25" s="31" t="n"/>
    </row>
    <row r="26" ht="12.75" customHeight="1" s="90">
      <c r="A26" s="36" t="n">
        <v>40</v>
      </c>
      <c r="B26" s="45" t="n"/>
      <c r="C26" s="32" t="inlineStr">
        <is>
          <t>Objetividade</t>
        </is>
      </c>
      <c r="D26" s="33" t="n"/>
      <c r="E26" s="33" t="n"/>
      <c r="F26" s="33" t="n"/>
      <c r="G26" s="33" t="n"/>
      <c r="H26" s="33" t="n"/>
      <c r="I26" s="31" t="n"/>
      <c r="J26" s="51">
        <f>'Avaliação'!U29*2</f>
        <v/>
      </c>
      <c r="K26" s="52" t="n"/>
    </row>
    <row r="27" ht="12.75" customHeight="1" s="90">
      <c r="A27" s="46" t="n"/>
      <c r="B27" s="47" t="n"/>
      <c r="C27" s="32" t="inlineStr">
        <is>
          <t>Pertinência das informações</t>
        </is>
      </c>
      <c r="D27" s="33" t="n"/>
      <c r="E27" s="33" t="n"/>
      <c r="F27" s="33" t="n"/>
      <c r="G27" s="33" t="n"/>
      <c r="H27" s="33" t="n"/>
      <c r="I27" s="31" t="n"/>
      <c r="J27" s="53" t="n"/>
      <c r="K27" s="54" t="n"/>
      <c r="M27" s="10" t="n"/>
    </row>
    <row r="28" ht="12.75" customHeight="1" s="90">
      <c r="A28" s="46" t="n"/>
      <c r="B28" s="47" t="n"/>
      <c r="C28" s="32" t="inlineStr">
        <is>
          <t>Identificação das dificuldades e meios de as superar</t>
        </is>
      </c>
      <c r="D28" s="33" t="n"/>
      <c r="E28" s="33" t="n"/>
      <c r="F28" s="33" t="n"/>
      <c r="G28" s="33" t="n"/>
      <c r="H28" s="33" t="n"/>
      <c r="I28" s="31" t="n"/>
      <c r="J28" s="53" t="n"/>
      <c r="K28" s="54" t="n"/>
    </row>
    <row r="29" ht="12.75" customHeight="1" s="90">
      <c r="A29" s="46" t="n"/>
      <c r="B29" s="47" t="n"/>
      <c r="C29" s="32" t="inlineStr">
        <is>
          <t>Capacidade de análise crítica</t>
        </is>
      </c>
      <c r="D29" s="33" t="n"/>
      <c r="E29" s="33" t="n"/>
      <c r="F29" s="33" t="n"/>
      <c r="G29" s="33" t="n"/>
      <c r="H29" s="33" t="n"/>
      <c r="I29" s="31" t="n"/>
      <c r="J29" s="53" t="n"/>
      <c r="K29" s="54" t="n"/>
    </row>
    <row r="30" ht="12.75" customHeight="1" s="90">
      <c r="A30" s="48" t="n"/>
      <c r="B30" s="49" t="n"/>
      <c r="C30" s="32" t="inlineStr">
        <is>
          <t>Sentido de responsabilidade e gestão do tempo</t>
        </is>
      </c>
      <c r="D30" s="33" t="n"/>
      <c r="E30" s="33" t="n"/>
      <c r="F30" s="33" t="n"/>
      <c r="G30" s="33" t="n"/>
      <c r="H30" s="33" t="n"/>
      <c r="I30" s="31" t="n"/>
      <c r="J30" s="55" t="n"/>
      <c r="K30" s="56" t="n"/>
    </row>
    <row r="31" ht="7.5" customHeight="1" s="90">
      <c r="A31" s="4" t="n"/>
    </row>
    <row r="32" ht="15" customHeight="1" s="90">
      <c r="A32" s="40" t="inlineStr">
        <is>
          <t>C – Apresentação e Defesa do Projecto</t>
        </is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1" t="n"/>
    </row>
    <row r="33" ht="15" customHeight="1" s="90">
      <c r="A33" s="36" t="inlineStr">
        <is>
          <t>Cotação máxima</t>
        </is>
      </c>
      <c r="B33" s="31" t="n"/>
      <c r="C33" s="36" t="inlineStr">
        <is>
          <t>Itens avaliados</t>
        </is>
      </c>
      <c r="D33" s="33" t="n"/>
      <c r="E33" s="33" t="n"/>
      <c r="F33" s="33" t="n"/>
      <c r="G33" s="33" t="n"/>
      <c r="H33" s="33" t="n"/>
      <c r="I33" s="31" t="n"/>
      <c r="J33" s="36" t="inlineStr">
        <is>
          <t>Cotação atribuída</t>
        </is>
      </c>
      <c r="K33" s="31" t="n"/>
    </row>
    <row r="34" ht="12.75" customHeight="1" s="90">
      <c r="A34" s="36" t="n">
        <v>60</v>
      </c>
      <c r="B34" s="45" t="n"/>
      <c r="C34" s="32" t="inlineStr">
        <is>
          <t xml:space="preserve">Capacidade de expressão oral e de expressão corporal </t>
        </is>
      </c>
      <c r="D34" s="33" t="n"/>
      <c r="E34" s="33" t="n"/>
      <c r="F34" s="33" t="n"/>
      <c r="G34" s="33" t="n"/>
      <c r="H34" s="33" t="n"/>
      <c r="I34" s="31" t="n"/>
      <c r="J34" s="51">
        <f>'Avaliação'!U35*3</f>
        <v/>
      </c>
      <c r="K34" s="52" t="n"/>
    </row>
    <row r="35" ht="12.75" customHeight="1" s="90">
      <c r="A35" s="46" t="n"/>
      <c r="B35" s="47" t="n"/>
      <c r="C35" s="32" t="inlineStr">
        <is>
          <t>Capacidade de síntese</t>
        </is>
      </c>
      <c r="D35" s="33" t="n"/>
      <c r="E35" s="33" t="n"/>
      <c r="F35" s="33" t="n"/>
      <c r="G35" s="33" t="n"/>
      <c r="H35" s="33" t="n"/>
      <c r="I35" s="31" t="n"/>
      <c r="J35" s="53" t="n"/>
      <c r="K35" s="54" t="n"/>
    </row>
    <row r="36" ht="12.75" customHeight="1" s="90">
      <c r="A36" s="46" t="n"/>
      <c r="B36" s="47" t="n"/>
      <c r="C36" s="32" t="inlineStr">
        <is>
          <t>Qualidade dos recursos/estratégias utilizadas na apresentação</t>
        </is>
      </c>
      <c r="D36" s="33" t="n"/>
      <c r="E36" s="33" t="n"/>
      <c r="F36" s="33" t="n"/>
      <c r="G36" s="33" t="n"/>
      <c r="H36" s="33" t="n"/>
      <c r="I36" s="31" t="n"/>
      <c r="J36" s="53" t="n"/>
      <c r="K36" s="54" t="n"/>
      <c r="M36" s="10" t="n"/>
    </row>
    <row r="37" ht="12.75" customHeight="1" s="90">
      <c r="A37" s="48" t="n"/>
      <c r="B37" s="49" t="n"/>
      <c r="C37" s="32" t="inlineStr">
        <is>
          <t>Qualidade de argumentação na defesa do projeto</t>
        </is>
      </c>
      <c r="D37" s="33" t="n"/>
      <c r="E37" s="33" t="n"/>
      <c r="F37" s="33" t="n"/>
      <c r="G37" s="33" t="n"/>
      <c r="H37" s="33" t="n"/>
      <c r="I37" s="31" t="n"/>
      <c r="J37" s="55" t="n"/>
      <c r="K37" s="56" t="n"/>
    </row>
    <row r="38" ht="7.5" customHeight="1" s="90">
      <c r="A38" s="6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 ht="19.5" customHeight="1" s="90">
      <c r="A39" s="39">
        <f>SUM(A16,A26,A34)</f>
        <v/>
      </c>
      <c r="B39" s="31" t="n"/>
      <c r="C39" s="39" t="inlineStr">
        <is>
          <t>Avaliação Final</t>
        </is>
      </c>
      <c r="D39" s="33" t="n"/>
      <c r="E39" s="33" t="n"/>
      <c r="F39" s="33" t="n"/>
      <c r="G39" s="33" t="n"/>
      <c r="H39" s="33" t="n"/>
      <c r="I39" s="31" t="n"/>
      <c r="J39" s="30">
        <f>ROUND(SUM(J16,J26,J34),0)</f>
        <v/>
      </c>
      <c r="K39" s="31" t="n"/>
    </row>
    <row r="40" ht="7.5" customHeight="1" s="90">
      <c r="A40" s="4" t="n"/>
    </row>
    <row r="41" ht="12.75" customHeight="1" s="90">
      <c r="A41" s="40" t="inlineStr">
        <is>
          <t>Observações:</t>
        </is>
      </c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1" t="n"/>
    </row>
    <row r="42" ht="12.75" customHeight="1" s="90">
      <c r="A42" s="58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2" t="n"/>
    </row>
    <row r="43" ht="12.75" customHeight="1" s="90">
      <c r="A43" s="53" t="n"/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54" t="n"/>
    </row>
    <row r="44" ht="12.75" customHeight="1" s="90">
      <c r="A44" s="53" t="n"/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54" t="n"/>
    </row>
    <row r="45" ht="12.75" customHeight="1" s="90">
      <c r="A45" s="53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54" t="n"/>
    </row>
    <row r="46" ht="12.75" customHeight="1" s="90">
      <c r="A46" s="55" t="n"/>
      <c r="B46" s="60" t="n"/>
      <c r="C46" s="60" t="n"/>
      <c r="D46" s="60" t="n"/>
      <c r="E46" s="60" t="n"/>
      <c r="F46" s="60" t="n"/>
      <c r="G46" s="60" t="n"/>
      <c r="H46" s="60" t="n"/>
      <c r="I46" s="60" t="n"/>
      <c r="J46" s="60" t="n"/>
      <c r="K46" s="56" t="n"/>
    </row>
    <row r="47" ht="7.5" customHeight="1" s="90">
      <c r="A47" s="5" t="n"/>
    </row>
    <row r="48" ht="12.75" customHeight="1" s="90">
      <c r="B48" s="5" t="n"/>
      <c r="C48" s="44" t="inlineStr">
        <is>
          <t xml:space="preserve">Caldas da Rainha, </t>
        </is>
      </c>
      <c r="F48" s="5" t="n"/>
      <c r="G48" s="61">
        <f>NOW()</f>
        <v/>
      </c>
      <c r="J48" s="5" t="n"/>
      <c r="K48" s="5" t="n"/>
    </row>
    <row r="49" ht="7.5" customHeight="1" s="90">
      <c r="A49" s="5" t="n"/>
    </row>
    <row r="50" ht="12.75" customHeight="1" s="90">
      <c r="A50" s="5" t="n"/>
      <c r="E50" s="50" t="inlineStr">
        <is>
          <t>O Júri da Prova</t>
        </is>
      </c>
    </row>
    <row r="51" ht="7.5" customHeight="1" s="90">
      <c r="A51" s="5" t="n"/>
    </row>
    <row r="52" ht="12.75" customHeight="1" s="90">
      <c r="A52" s="35" t="inlineStr">
        <is>
          <t>Qualidade em que está nomeado</t>
        </is>
      </c>
      <c r="B52" s="33" t="n"/>
      <c r="C52" s="33" t="n"/>
      <c r="D52" s="33" t="n"/>
      <c r="E52" s="31" t="n"/>
      <c r="G52" s="35" t="inlineStr">
        <is>
          <t>Assinatura</t>
        </is>
      </c>
      <c r="H52" s="33" t="n"/>
      <c r="I52" s="33" t="n"/>
      <c r="J52" s="33" t="n"/>
      <c r="K52" s="31" t="n"/>
    </row>
    <row r="53" ht="22.5" customHeight="1" s="90">
      <c r="A53" s="32" t="inlineStr">
        <is>
          <t>Presidente do Júri</t>
        </is>
      </c>
      <c r="B53" s="33" t="n"/>
      <c r="C53" s="33" t="n"/>
      <c r="D53" s="33" t="n"/>
      <c r="E53" s="31" t="n"/>
      <c r="G53" s="34" t="n"/>
      <c r="H53" s="33" t="n"/>
      <c r="I53" s="33" t="n"/>
      <c r="J53" s="33" t="n"/>
      <c r="K53" s="31" t="n"/>
    </row>
    <row r="54" ht="22.5" customHeight="1" s="90">
      <c r="A54" s="32" t="inlineStr">
        <is>
          <t>Professor Orientador do Projeto</t>
        </is>
      </c>
      <c r="B54" s="33" t="n"/>
      <c r="C54" s="33" t="n"/>
      <c r="D54" s="33" t="n"/>
      <c r="E54" s="31" t="n"/>
      <c r="G54" s="34" t="n"/>
      <c r="H54" s="33" t="n"/>
      <c r="I54" s="33" t="n"/>
      <c r="J54" s="33" t="n"/>
      <c r="K54" s="31" t="n"/>
    </row>
    <row r="55" ht="22.5" customHeight="1" s="90">
      <c r="A55" s="32" t="inlineStr">
        <is>
          <t>Representante das Associações Empresariais</t>
        </is>
      </c>
      <c r="B55" s="33" t="n"/>
      <c r="C55" s="33" t="n"/>
      <c r="D55" s="33" t="n"/>
      <c r="E55" s="31" t="n"/>
      <c r="G55" s="34" t="n"/>
      <c r="H55" s="33" t="n"/>
      <c r="I55" s="33" t="n"/>
      <c r="J55" s="33" t="n"/>
      <c r="K55" s="31" t="n"/>
    </row>
    <row r="56" ht="22.5" customHeight="1" s="90">
      <c r="A56" s="32" t="inlineStr">
        <is>
          <t>Personalidade de reconhecido mérito</t>
        </is>
      </c>
      <c r="B56" s="33" t="n"/>
      <c r="C56" s="33" t="n"/>
      <c r="D56" s="33" t="n"/>
      <c r="E56" s="31" t="n"/>
      <c r="G56" s="34" t="n"/>
      <c r="H56" s="33" t="n"/>
      <c r="I56" s="33" t="n"/>
      <c r="J56" s="33" t="n"/>
      <c r="K56" s="31" t="n"/>
    </row>
  </sheetData>
  <mergeCells count="60">
    <mergeCell ref="J39:K39"/>
    <mergeCell ref="C36:I36"/>
    <mergeCell ref="G56:K56"/>
    <mergeCell ref="G52:K52"/>
    <mergeCell ref="A15:B15"/>
    <mergeCell ref="D9:J9"/>
    <mergeCell ref="C17:I17"/>
    <mergeCell ref="C39:I39"/>
    <mergeCell ref="D8:J8"/>
    <mergeCell ref="A24:K24"/>
    <mergeCell ref="A12:C12"/>
    <mergeCell ref="C19:I19"/>
    <mergeCell ref="C37:I37"/>
    <mergeCell ref="A6:K6"/>
    <mergeCell ref="C28:I28"/>
    <mergeCell ref="C18:I18"/>
    <mergeCell ref="A25:B25"/>
    <mergeCell ref="A54:E54"/>
    <mergeCell ref="A8:C8"/>
    <mergeCell ref="J15:K15"/>
    <mergeCell ref="A41:K41"/>
    <mergeCell ref="C34:I34"/>
    <mergeCell ref="C48:E48"/>
    <mergeCell ref="C30:I30"/>
    <mergeCell ref="G53:K53"/>
    <mergeCell ref="C15:I15"/>
    <mergeCell ref="C33:I33"/>
    <mergeCell ref="A56:E56"/>
    <mergeCell ref="A10:C10"/>
    <mergeCell ref="A55:E55"/>
    <mergeCell ref="A34:B37"/>
    <mergeCell ref="C26:I26"/>
    <mergeCell ref="A33:B33"/>
    <mergeCell ref="C35:I35"/>
    <mergeCell ref="J25:K25"/>
    <mergeCell ref="C20:I20"/>
    <mergeCell ref="E50:G50"/>
    <mergeCell ref="C29:I29"/>
    <mergeCell ref="C16:I16"/>
    <mergeCell ref="A32:K32"/>
    <mergeCell ref="A14:K14"/>
    <mergeCell ref="J26:K30"/>
    <mergeCell ref="C25:I25"/>
    <mergeCell ref="G55:K55"/>
    <mergeCell ref="A16:B22"/>
    <mergeCell ref="A53:E53"/>
    <mergeCell ref="C22:I22"/>
    <mergeCell ref="A11:C11"/>
    <mergeCell ref="A4:K4"/>
    <mergeCell ref="A52:E52"/>
    <mergeCell ref="J16:K22"/>
    <mergeCell ref="C21:I21"/>
    <mergeCell ref="J34:K37"/>
    <mergeCell ref="A26:B30"/>
    <mergeCell ref="A42:K46"/>
    <mergeCell ref="J33:K33"/>
    <mergeCell ref="G54:K54"/>
    <mergeCell ref="G48:I48"/>
    <mergeCell ref="C27:I27"/>
    <mergeCell ref="A39:B39"/>
  </mergeCells>
  <conditionalFormatting sqref="J16:K22 J34:K37">
    <cfRule type="cellIs" priority="1" operator="greaterThan" dxfId="0" stopIfTrue="1">
      <formula>$A$16</formula>
    </cfRule>
  </conditionalFormatting>
  <conditionalFormatting sqref="J26:K30">
    <cfRule type="cellIs" priority="2" operator="greaterThan" dxfId="0" stopIfTrue="1">
      <formula>$A$26</formula>
    </cfRule>
  </conditionalFormatting>
  <conditionalFormatting sqref="J39:K39">
    <cfRule type="cellIs" priority="3" operator="greaterThan" dxfId="0" stopIfTrue="1">
      <formula>200</formula>
    </cfRule>
  </conditionalFormatting>
  <dataValidations count="3">
    <dataValidation sqref="D10" showDropDown="0" showInputMessage="0" showErrorMessage="0" allowBlank="1" errorTitle="Valor inválido" error="Seleccione um valor da lista." type="list">
      <formula1>='Auxiliar'!$B$6:$B$8</formula1>
    </dataValidation>
    <dataValidation sqref="D12" showDropDown="0" showInputMessage="0" showErrorMessage="0" allowBlank="1" errorTitle="Valor inválido" error="Seleccione um valor da lista." type="list">
      <formula1>='Auxiliar'!$D$6:$D$8</formula1>
    </dataValidation>
    <dataValidation sqref="D11" showDropDown="0" showInputMessage="0" showErrorMessage="0" allowBlank="1" errorTitle="Valor inválido" error="Seleccione um valor da lista." type="list">
      <formula1>='Auxiliar'!$B$16:$B$18</formula1>
    </dataValidation>
  </dataValidations>
  <printOptions horizontalCentered="1"/>
  <pageMargins left="0.984251968503937" right="0.5905511811023623" top="0.5905511811023623" bottom="0.5905511811023623" header="0" footer="0"/>
  <pageSetup orientation="portrait" paperSize="9" scale="9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2:M56"/>
  <sheetViews>
    <sheetView zoomScale="150" workbookViewId="0">
      <selection activeCell="B57" sqref="B57"/>
    </sheetView>
  </sheetViews>
  <sheetFormatPr baseColWidth="8" defaultColWidth="9.140625" defaultRowHeight="12.75" customHeight="1"/>
  <cols>
    <col width="8.5703125" customWidth="1" style="42" min="1" max="5"/>
    <col width="2" customWidth="1" style="42" min="6" max="6"/>
    <col width="8.5703125" customWidth="1" style="42" min="7" max="11"/>
    <col width="9.140625" customWidth="1" style="42" min="12" max="16"/>
    <col width="9.140625" customWidth="1" style="42" min="17" max="16384"/>
  </cols>
  <sheetData>
    <row r="2" ht="16.9" customHeight="1" s="90">
      <c r="B2" s="9" t="n"/>
      <c r="C2" s="9" t="n"/>
      <c r="D2" s="9" t="inlineStr">
        <is>
          <t>Agrupamento de Escolas Raul Proença</t>
        </is>
      </c>
      <c r="E2" s="9" t="n"/>
      <c r="F2" s="9" t="n"/>
      <c r="G2" s="9" t="n"/>
      <c r="H2" s="9" t="n"/>
      <c r="I2" s="9" t="n"/>
      <c r="J2" s="9" t="n"/>
      <c r="K2" s="9" t="n"/>
    </row>
    <row r="4" ht="15" customHeight="1" s="90">
      <c r="A4" s="57" t="inlineStr">
        <is>
          <t>Ano letivo 2025/2026</t>
        </is>
      </c>
    </row>
    <row r="5" ht="7.5" customHeight="1" s="90">
      <c r="A5" s="2" t="n"/>
    </row>
    <row r="6" ht="15" customHeight="1" s="90">
      <c r="A6" s="43" t="inlineStr">
        <is>
          <t>Ata de Avaliação da Prova de Aptidão Profissional</t>
        </is>
      </c>
    </row>
    <row r="7" ht="12.75" customHeight="1" s="90">
      <c r="A7" s="3" t="n"/>
    </row>
    <row r="8" ht="12.75" customHeight="1" s="90">
      <c r="A8" s="41" t="inlineStr">
        <is>
          <t>Aluno:</t>
        </is>
      </c>
      <c r="D8" s="96" t="inlineStr">
        <is>
          <t>Maria Serafim Sousa</t>
        </is>
      </c>
      <c r="E8" s="38" t="n"/>
      <c r="F8" s="38" t="n"/>
      <c r="G8" s="38" t="n"/>
      <c r="H8" s="38" t="n"/>
      <c r="I8" s="38" t="n"/>
      <c r="J8" s="38" t="n"/>
      <c r="K8" s="7" t="n"/>
    </row>
    <row r="9" ht="12.75" customHeight="1" s="90">
      <c r="A9" s="41" t="n"/>
      <c r="B9" s="41" t="n"/>
      <c r="C9" s="41" t="inlineStr">
        <is>
          <t>Tema:</t>
        </is>
      </c>
      <c r="D9" s="96" t="inlineStr">
        <is>
          <t>RoboRaul - Evento de Robótica para alunos do 1º ciclo (4º ano)</t>
        </is>
      </c>
      <c r="E9" s="38" t="n"/>
      <c r="F9" s="38" t="n"/>
      <c r="G9" s="38" t="n"/>
      <c r="H9" s="38" t="n"/>
      <c r="I9" s="38" t="n"/>
      <c r="J9" s="38" t="n"/>
      <c r="K9" s="7" t="n"/>
    </row>
    <row r="10" ht="18" customHeight="1" s="90">
      <c r="A10" s="41" t="inlineStr">
        <is>
          <t>Área de Formação:</t>
        </is>
      </c>
      <c r="D10" s="95" t="inlineStr">
        <is>
          <t>Ciências Informáticas (481)</t>
        </is>
      </c>
      <c r="E10" s="95" t="n"/>
      <c r="F10" s="95" t="n"/>
      <c r="G10" s="95" t="n"/>
      <c r="H10" s="95" t="n"/>
      <c r="I10" s="95" t="n"/>
      <c r="J10" s="95" t="n"/>
      <c r="K10" s="7" t="n"/>
    </row>
    <row r="11" ht="18.75" customHeight="1" s="90">
      <c r="A11" s="41" t="inlineStr">
        <is>
          <t>Curso Profissional:</t>
        </is>
      </c>
      <c r="D11" s="95" t="inlineStr">
        <is>
          <t>Técnico de Gestão e Programação de Sistemas Informáticos</t>
        </is>
      </c>
      <c r="E11" s="95" t="n"/>
      <c r="F11" s="95" t="n"/>
      <c r="G11" s="95" t="n"/>
      <c r="H11" s="95" t="n"/>
      <c r="I11" s="95" t="n"/>
      <c r="J11" s="95" t="n"/>
      <c r="K11" s="7" t="n"/>
    </row>
    <row r="12" ht="18" customHeight="1" s="90">
      <c r="A12" s="41" t="inlineStr">
        <is>
          <t>Saída Profissional:</t>
        </is>
      </c>
      <c r="D12" s="95" t="inlineStr">
        <is>
          <t>Técnico de Gestão e Programação de Sistemas Informáticos</t>
        </is>
      </c>
      <c r="E12" s="95" t="n"/>
      <c r="F12" s="95" t="n"/>
      <c r="G12" s="95" t="n"/>
      <c r="H12" s="95" t="n"/>
      <c r="I12" s="95" t="n"/>
      <c r="J12" s="95" t="n"/>
      <c r="K12" s="7" t="n"/>
    </row>
    <row r="13" ht="7.5" customHeight="1" s="90">
      <c r="A13" s="3" t="n"/>
    </row>
    <row r="14" ht="15" customHeight="1" s="90">
      <c r="A14" s="40" t="inlineStr">
        <is>
          <t>A – Desenvolvimento do Projeto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1" t="n"/>
    </row>
    <row r="15" ht="15" customHeight="1" s="90">
      <c r="A15" s="36" t="inlineStr">
        <is>
          <t>Cotação máxima</t>
        </is>
      </c>
      <c r="B15" s="31" t="n"/>
      <c r="C15" s="36" t="inlineStr">
        <is>
          <t>Itens avaliados</t>
        </is>
      </c>
      <c r="D15" s="33" t="n"/>
      <c r="E15" s="33" t="n"/>
      <c r="F15" s="33" t="n"/>
      <c r="G15" s="33" t="n"/>
      <c r="H15" s="33" t="n"/>
      <c r="I15" s="31" t="n"/>
      <c r="J15" s="36" t="inlineStr">
        <is>
          <t>Cotação atribuída</t>
        </is>
      </c>
      <c r="K15" s="31" t="n"/>
    </row>
    <row r="16" ht="12.75" customHeight="1" s="90">
      <c r="A16" s="36" t="n">
        <v>100</v>
      </c>
      <c r="B16" s="45" t="n"/>
      <c r="C16" s="32" t="inlineStr">
        <is>
          <t>Definição dos objectivos do projeto</t>
        </is>
      </c>
      <c r="D16" s="33" t="n"/>
      <c r="E16" s="33" t="n"/>
      <c r="F16" s="33" t="n"/>
      <c r="G16" s="33" t="n"/>
      <c r="H16" s="33" t="n"/>
      <c r="I16" s="31" t="n"/>
      <c r="J16" s="51">
        <f>'Avaliação'!V22*5</f>
        <v/>
      </c>
      <c r="K16" s="52" t="n"/>
    </row>
    <row r="17" ht="12.75" customHeight="1" s="90">
      <c r="A17" s="46" t="n"/>
      <c r="B17" s="47" t="n"/>
      <c r="C17" s="32" t="inlineStr">
        <is>
          <t>Qualidade científica e técnica</t>
        </is>
      </c>
      <c r="D17" s="33" t="n"/>
      <c r="E17" s="33" t="n"/>
      <c r="F17" s="33" t="n"/>
      <c r="G17" s="33" t="n"/>
      <c r="H17" s="33" t="n"/>
      <c r="I17" s="31" t="n"/>
      <c r="J17" s="53" t="n"/>
      <c r="K17" s="54" t="n"/>
    </row>
    <row r="18" ht="12.75" customHeight="1" s="90">
      <c r="A18" s="46" t="n"/>
      <c r="B18" s="47" t="n"/>
      <c r="C18" s="32" t="inlineStr">
        <is>
          <t>Pertinência, criatividade e inovação</t>
        </is>
      </c>
      <c r="D18" s="33" t="n"/>
      <c r="E18" s="33" t="n"/>
      <c r="F18" s="33" t="n"/>
      <c r="G18" s="33" t="n"/>
      <c r="H18" s="33" t="n"/>
      <c r="I18" s="31" t="n"/>
      <c r="J18" s="53" t="n"/>
      <c r="K18" s="54" t="n"/>
      <c r="M18" s="10" t="n"/>
    </row>
    <row r="19" ht="12.75" customHeight="1" s="90">
      <c r="A19" s="46" t="n"/>
      <c r="B19" s="47" t="n"/>
      <c r="C19" s="32" t="inlineStr">
        <is>
          <t>Planeamento dos recursos necessários</t>
        </is>
      </c>
      <c r="D19" s="33" t="n"/>
      <c r="E19" s="33" t="n"/>
      <c r="F19" s="33" t="n"/>
      <c r="G19" s="33" t="n"/>
      <c r="H19" s="33" t="n"/>
      <c r="I19" s="31" t="n"/>
      <c r="J19" s="53" t="n"/>
      <c r="K19" s="54" t="n"/>
    </row>
    <row r="20" ht="12.75" customHeight="1" s="90">
      <c r="A20" s="46" t="n"/>
      <c r="B20" s="47" t="n"/>
      <c r="C20" s="32" t="inlineStr">
        <is>
          <t>Definição das fases de execução do projeto</t>
        </is>
      </c>
      <c r="D20" s="33" t="n"/>
      <c r="E20" s="33" t="n"/>
      <c r="F20" s="33" t="n"/>
      <c r="G20" s="33" t="n"/>
      <c r="H20" s="33" t="n"/>
      <c r="I20" s="31" t="n"/>
      <c r="J20" s="53" t="n"/>
      <c r="K20" s="54" t="n"/>
    </row>
    <row r="21" ht="12.75" customHeight="1" s="90">
      <c r="A21" s="46" t="n"/>
      <c r="B21" s="47" t="n"/>
      <c r="C21" s="32" t="inlineStr">
        <is>
          <t>Autonomia</t>
        </is>
      </c>
      <c r="D21" s="33" t="n"/>
      <c r="E21" s="33" t="n"/>
      <c r="F21" s="33" t="n"/>
      <c r="G21" s="33" t="n"/>
      <c r="H21" s="33" t="n"/>
      <c r="I21" s="31" t="n"/>
      <c r="J21" s="53" t="n"/>
      <c r="K21" s="54" t="n"/>
    </row>
    <row r="22" ht="12.75" customHeight="1" s="90">
      <c r="A22" s="48" t="n"/>
      <c r="B22" s="49" t="n"/>
      <c r="C22" s="32" t="inlineStr">
        <is>
          <t>Sentido de responsabilidade e gestão do tempo</t>
        </is>
      </c>
      <c r="D22" s="33" t="n"/>
      <c r="E22" s="33" t="n"/>
      <c r="F22" s="33" t="n"/>
      <c r="G22" s="33" t="n"/>
      <c r="H22" s="33" t="n"/>
      <c r="I22" s="31" t="n"/>
      <c r="J22" s="55" t="n"/>
      <c r="K22" s="56" t="n"/>
    </row>
    <row r="23" ht="7.5" customHeight="1" s="90">
      <c r="A23" s="4" t="n"/>
    </row>
    <row r="24" ht="15" customHeight="1" s="90">
      <c r="A24" s="40" t="inlineStr">
        <is>
          <t>B – Relatório final</t>
        </is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1" t="n"/>
    </row>
    <row r="25" ht="15" customHeight="1" s="90">
      <c r="A25" s="36" t="inlineStr">
        <is>
          <t>Cotação máxima</t>
        </is>
      </c>
      <c r="B25" s="31" t="n"/>
      <c r="C25" s="36" t="inlineStr">
        <is>
          <t>Itens avaliados</t>
        </is>
      </c>
      <c r="D25" s="33" t="n"/>
      <c r="E25" s="33" t="n"/>
      <c r="F25" s="33" t="n"/>
      <c r="G25" s="33" t="n"/>
      <c r="H25" s="33" t="n"/>
      <c r="I25" s="31" t="n"/>
      <c r="J25" s="36" t="inlineStr">
        <is>
          <t>Cotação atribuída</t>
        </is>
      </c>
      <c r="K25" s="31" t="n"/>
    </row>
    <row r="26" ht="12.75" customHeight="1" s="90">
      <c r="A26" s="36" t="n">
        <v>40</v>
      </c>
      <c r="B26" s="45" t="n"/>
      <c r="C26" s="32" t="inlineStr">
        <is>
          <t>Objetividade</t>
        </is>
      </c>
      <c r="D26" s="33" t="n"/>
      <c r="E26" s="33" t="n"/>
      <c r="F26" s="33" t="n"/>
      <c r="G26" s="33" t="n"/>
      <c r="H26" s="33" t="n"/>
      <c r="I26" s="31" t="n"/>
      <c r="J26" s="51">
        <f>'Avaliação'!V29*2</f>
        <v/>
      </c>
      <c r="K26" s="52" t="n"/>
    </row>
    <row r="27" ht="12.75" customHeight="1" s="90">
      <c r="A27" s="46" t="n"/>
      <c r="B27" s="47" t="n"/>
      <c r="C27" s="32" t="inlineStr">
        <is>
          <t>Pertinência das informações</t>
        </is>
      </c>
      <c r="D27" s="33" t="n"/>
      <c r="E27" s="33" t="n"/>
      <c r="F27" s="33" t="n"/>
      <c r="G27" s="33" t="n"/>
      <c r="H27" s="33" t="n"/>
      <c r="I27" s="31" t="n"/>
      <c r="J27" s="53" t="n"/>
      <c r="K27" s="54" t="n"/>
      <c r="M27" s="10" t="n"/>
    </row>
    <row r="28" ht="12.75" customHeight="1" s="90">
      <c r="A28" s="46" t="n"/>
      <c r="B28" s="47" t="n"/>
      <c r="C28" s="32" t="inlineStr">
        <is>
          <t>Identificação das dificuldades e meios de as superar</t>
        </is>
      </c>
      <c r="D28" s="33" t="n"/>
      <c r="E28" s="33" t="n"/>
      <c r="F28" s="33" t="n"/>
      <c r="G28" s="33" t="n"/>
      <c r="H28" s="33" t="n"/>
      <c r="I28" s="31" t="n"/>
      <c r="J28" s="53" t="n"/>
      <c r="K28" s="54" t="n"/>
    </row>
    <row r="29" ht="12.75" customHeight="1" s="90">
      <c r="A29" s="46" t="n"/>
      <c r="B29" s="47" t="n"/>
      <c r="C29" s="32" t="inlineStr">
        <is>
          <t>Capacidade de análise crítica</t>
        </is>
      </c>
      <c r="D29" s="33" t="n"/>
      <c r="E29" s="33" t="n"/>
      <c r="F29" s="33" t="n"/>
      <c r="G29" s="33" t="n"/>
      <c r="H29" s="33" t="n"/>
      <c r="I29" s="31" t="n"/>
      <c r="J29" s="53" t="n"/>
      <c r="K29" s="54" t="n"/>
    </row>
    <row r="30" ht="12.75" customHeight="1" s="90">
      <c r="A30" s="48" t="n"/>
      <c r="B30" s="49" t="n"/>
      <c r="C30" s="32" t="inlineStr">
        <is>
          <t>Sentido de responsabilidade e gestão do tempo</t>
        </is>
      </c>
      <c r="D30" s="33" t="n"/>
      <c r="E30" s="33" t="n"/>
      <c r="F30" s="33" t="n"/>
      <c r="G30" s="33" t="n"/>
      <c r="H30" s="33" t="n"/>
      <c r="I30" s="31" t="n"/>
      <c r="J30" s="55" t="n"/>
      <c r="K30" s="56" t="n"/>
    </row>
    <row r="31" ht="7.5" customHeight="1" s="90">
      <c r="A31" s="4" t="n"/>
    </row>
    <row r="32" ht="15" customHeight="1" s="90">
      <c r="A32" s="40" t="inlineStr">
        <is>
          <t>C – Apresentação e Defesa do Projecto</t>
        </is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1" t="n"/>
    </row>
    <row r="33" ht="15" customHeight="1" s="90">
      <c r="A33" s="36" t="inlineStr">
        <is>
          <t>Cotação máxima</t>
        </is>
      </c>
      <c r="B33" s="31" t="n"/>
      <c r="C33" s="36" t="inlineStr">
        <is>
          <t>Itens avaliados</t>
        </is>
      </c>
      <c r="D33" s="33" t="n"/>
      <c r="E33" s="33" t="n"/>
      <c r="F33" s="33" t="n"/>
      <c r="G33" s="33" t="n"/>
      <c r="H33" s="33" t="n"/>
      <c r="I33" s="31" t="n"/>
      <c r="J33" s="36" t="inlineStr">
        <is>
          <t>Cotação atribuída</t>
        </is>
      </c>
      <c r="K33" s="31" t="n"/>
    </row>
    <row r="34" ht="12.75" customHeight="1" s="90">
      <c r="A34" s="36" t="n">
        <v>60</v>
      </c>
      <c r="B34" s="45" t="n"/>
      <c r="C34" s="32" t="inlineStr">
        <is>
          <t xml:space="preserve">Capacidade de expressão oral e de expressão corporal </t>
        </is>
      </c>
      <c r="D34" s="33" t="n"/>
      <c r="E34" s="33" t="n"/>
      <c r="F34" s="33" t="n"/>
      <c r="G34" s="33" t="n"/>
      <c r="H34" s="33" t="n"/>
      <c r="I34" s="31" t="n"/>
      <c r="J34" s="51">
        <f>'Avaliação'!V35*3</f>
        <v/>
      </c>
      <c r="K34" s="52" t="n"/>
    </row>
    <row r="35" ht="12.75" customHeight="1" s="90">
      <c r="A35" s="46" t="n"/>
      <c r="B35" s="47" t="n"/>
      <c r="C35" s="32" t="inlineStr">
        <is>
          <t>Capacidade de síntese</t>
        </is>
      </c>
      <c r="D35" s="33" t="n"/>
      <c r="E35" s="33" t="n"/>
      <c r="F35" s="33" t="n"/>
      <c r="G35" s="33" t="n"/>
      <c r="H35" s="33" t="n"/>
      <c r="I35" s="31" t="n"/>
      <c r="J35" s="53" t="n"/>
      <c r="K35" s="54" t="n"/>
    </row>
    <row r="36" ht="12.75" customHeight="1" s="90">
      <c r="A36" s="46" t="n"/>
      <c r="B36" s="47" t="n"/>
      <c r="C36" s="32" t="inlineStr">
        <is>
          <t>Qualidade dos recursos/estratégias utilizadas na apresentação</t>
        </is>
      </c>
      <c r="D36" s="33" t="n"/>
      <c r="E36" s="33" t="n"/>
      <c r="F36" s="33" t="n"/>
      <c r="G36" s="33" t="n"/>
      <c r="H36" s="33" t="n"/>
      <c r="I36" s="31" t="n"/>
      <c r="J36" s="53" t="n"/>
      <c r="K36" s="54" t="n"/>
      <c r="M36" s="10" t="n"/>
    </row>
    <row r="37" ht="12.75" customHeight="1" s="90">
      <c r="A37" s="48" t="n"/>
      <c r="B37" s="49" t="n"/>
      <c r="C37" s="32" t="inlineStr">
        <is>
          <t>Qualidade de argumentação na defesa do projeto</t>
        </is>
      </c>
      <c r="D37" s="33" t="n"/>
      <c r="E37" s="33" t="n"/>
      <c r="F37" s="33" t="n"/>
      <c r="G37" s="33" t="n"/>
      <c r="H37" s="33" t="n"/>
      <c r="I37" s="31" t="n"/>
      <c r="J37" s="55" t="n"/>
      <c r="K37" s="56" t="n"/>
    </row>
    <row r="38" ht="7.5" customHeight="1" s="90">
      <c r="A38" s="6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 ht="19.5" customHeight="1" s="90">
      <c r="A39" s="39">
        <f>SUM(A16,A26,A34)</f>
        <v/>
      </c>
      <c r="B39" s="31" t="n"/>
      <c r="C39" s="39" t="inlineStr">
        <is>
          <t>Avaliação Final</t>
        </is>
      </c>
      <c r="D39" s="33" t="n"/>
      <c r="E39" s="33" t="n"/>
      <c r="F39" s="33" t="n"/>
      <c r="G39" s="33" t="n"/>
      <c r="H39" s="33" t="n"/>
      <c r="I39" s="31" t="n"/>
      <c r="J39" s="30">
        <f>ROUND(SUM(J16,J26,J34),0)</f>
        <v/>
      </c>
      <c r="K39" s="31" t="n"/>
    </row>
    <row r="40" ht="7.5" customHeight="1" s="90">
      <c r="A40" s="4" t="n"/>
    </row>
    <row r="41" ht="12.75" customHeight="1" s="90">
      <c r="A41" s="40" t="inlineStr">
        <is>
          <t>Observações:</t>
        </is>
      </c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1" t="n"/>
    </row>
    <row r="42" ht="12.75" customHeight="1" s="90">
      <c r="A42" s="58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2" t="n"/>
    </row>
    <row r="43" ht="12.75" customHeight="1" s="90">
      <c r="A43" s="53" t="n"/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54" t="n"/>
    </row>
    <row r="44" ht="12.75" customHeight="1" s="90">
      <c r="A44" s="53" t="n"/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54" t="n"/>
    </row>
    <row r="45" ht="12.75" customHeight="1" s="90">
      <c r="A45" s="53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54" t="n"/>
    </row>
    <row r="46" ht="12.75" customHeight="1" s="90">
      <c r="A46" s="55" t="n"/>
      <c r="B46" s="60" t="n"/>
      <c r="C46" s="60" t="n"/>
      <c r="D46" s="60" t="n"/>
      <c r="E46" s="60" t="n"/>
      <c r="F46" s="60" t="n"/>
      <c r="G46" s="60" t="n"/>
      <c r="H46" s="60" t="n"/>
      <c r="I46" s="60" t="n"/>
      <c r="J46" s="60" t="n"/>
      <c r="K46" s="56" t="n"/>
    </row>
    <row r="47" ht="7.5" customHeight="1" s="90">
      <c r="A47" s="5" t="n"/>
    </row>
    <row r="48" ht="12.75" customHeight="1" s="90">
      <c r="B48" s="5" t="n"/>
      <c r="C48" s="44" t="inlineStr">
        <is>
          <t xml:space="preserve">Caldas da Rainha, </t>
        </is>
      </c>
      <c r="F48" s="5" t="n"/>
      <c r="G48" s="61">
        <f>NOW()</f>
        <v/>
      </c>
      <c r="J48" s="5" t="n"/>
      <c r="K48" s="5" t="n"/>
    </row>
    <row r="49" ht="7.5" customHeight="1" s="90">
      <c r="A49" s="5" t="n"/>
    </row>
    <row r="50" ht="12.75" customHeight="1" s="90">
      <c r="A50" s="5" t="n"/>
      <c r="E50" s="50" t="inlineStr">
        <is>
          <t>O Júri da Prova</t>
        </is>
      </c>
    </row>
    <row r="51" ht="7.5" customHeight="1" s="90">
      <c r="A51" s="5" t="n"/>
    </row>
    <row r="52" ht="12.75" customHeight="1" s="90">
      <c r="A52" s="35" t="inlineStr">
        <is>
          <t>Qualidade em que está nomeado</t>
        </is>
      </c>
      <c r="B52" s="33" t="n"/>
      <c r="C52" s="33" t="n"/>
      <c r="D52" s="33" t="n"/>
      <c r="E52" s="31" t="n"/>
      <c r="G52" s="35" t="inlineStr">
        <is>
          <t>Assinatura</t>
        </is>
      </c>
      <c r="H52" s="33" t="n"/>
      <c r="I52" s="33" t="n"/>
      <c r="J52" s="33" t="n"/>
      <c r="K52" s="31" t="n"/>
    </row>
    <row r="53" ht="22.5" customHeight="1" s="90">
      <c r="A53" s="32" t="inlineStr">
        <is>
          <t>Presidente do Júri</t>
        </is>
      </c>
      <c r="B53" s="33" t="n"/>
      <c r="C53" s="33" t="n"/>
      <c r="D53" s="33" t="n"/>
      <c r="E53" s="31" t="n"/>
      <c r="G53" s="34" t="n"/>
      <c r="H53" s="33" t="n"/>
      <c r="I53" s="33" t="n"/>
      <c r="J53" s="33" t="n"/>
      <c r="K53" s="31" t="n"/>
    </row>
    <row r="54" ht="22.5" customHeight="1" s="90">
      <c r="A54" s="32" t="inlineStr">
        <is>
          <t>Professor Orientador do Projeto</t>
        </is>
      </c>
      <c r="B54" s="33" t="n"/>
      <c r="C54" s="33" t="n"/>
      <c r="D54" s="33" t="n"/>
      <c r="E54" s="31" t="n"/>
      <c r="G54" s="34" t="n"/>
      <c r="H54" s="33" t="n"/>
      <c r="I54" s="33" t="n"/>
      <c r="J54" s="33" t="n"/>
      <c r="K54" s="31" t="n"/>
    </row>
    <row r="55" ht="22.5" customHeight="1" s="90">
      <c r="A55" s="32" t="inlineStr">
        <is>
          <t>Representante das Associações Empresariais</t>
        </is>
      </c>
      <c r="B55" s="33" t="n"/>
      <c r="C55" s="33" t="n"/>
      <c r="D55" s="33" t="n"/>
      <c r="E55" s="31" t="n"/>
      <c r="G55" s="34" t="n"/>
      <c r="H55" s="33" t="n"/>
      <c r="I55" s="33" t="n"/>
      <c r="J55" s="33" t="n"/>
      <c r="K55" s="31" t="n"/>
    </row>
    <row r="56" ht="22.5" customHeight="1" s="90">
      <c r="A56" s="32" t="inlineStr">
        <is>
          <t>Personalidade de reconhecido mérito</t>
        </is>
      </c>
      <c r="B56" s="33" t="n"/>
      <c r="C56" s="33" t="n"/>
      <c r="D56" s="33" t="n"/>
      <c r="E56" s="31" t="n"/>
      <c r="G56" s="34" t="n"/>
      <c r="H56" s="33" t="n"/>
      <c r="I56" s="33" t="n"/>
      <c r="J56" s="33" t="n"/>
      <c r="K56" s="31" t="n"/>
    </row>
  </sheetData>
  <mergeCells count="60">
    <mergeCell ref="J39:K39"/>
    <mergeCell ref="C36:I36"/>
    <mergeCell ref="G56:K56"/>
    <mergeCell ref="G52:K52"/>
    <mergeCell ref="A15:B15"/>
    <mergeCell ref="D9:J9"/>
    <mergeCell ref="C17:I17"/>
    <mergeCell ref="C39:I39"/>
    <mergeCell ref="D8:J8"/>
    <mergeCell ref="A24:K24"/>
    <mergeCell ref="A12:C12"/>
    <mergeCell ref="C19:I19"/>
    <mergeCell ref="C37:I37"/>
    <mergeCell ref="A6:K6"/>
    <mergeCell ref="C28:I28"/>
    <mergeCell ref="C18:I18"/>
    <mergeCell ref="A25:B25"/>
    <mergeCell ref="A54:E54"/>
    <mergeCell ref="A8:C8"/>
    <mergeCell ref="J15:K15"/>
    <mergeCell ref="A41:K41"/>
    <mergeCell ref="C34:I34"/>
    <mergeCell ref="C48:E48"/>
    <mergeCell ref="C30:I30"/>
    <mergeCell ref="G53:K53"/>
    <mergeCell ref="C15:I15"/>
    <mergeCell ref="C33:I33"/>
    <mergeCell ref="A56:E56"/>
    <mergeCell ref="A10:C10"/>
    <mergeCell ref="A55:E55"/>
    <mergeCell ref="A34:B37"/>
    <mergeCell ref="C26:I26"/>
    <mergeCell ref="A33:B33"/>
    <mergeCell ref="C35:I35"/>
    <mergeCell ref="J25:K25"/>
    <mergeCell ref="C20:I20"/>
    <mergeCell ref="E50:G50"/>
    <mergeCell ref="C29:I29"/>
    <mergeCell ref="C16:I16"/>
    <mergeCell ref="A32:K32"/>
    <mergeCell ref="A14:K14"/>
    <mergeCell ref="J26:K30"/>
    <mergeCell ref="C25:I25"/>
    <mergeCell ref="G55:K55"/>
    <mergeCell ref="A16:B22"/>
    <mergeCell ref="A53:E53"/>
    <mergeCell ref="C22:I22"/>
    <mergeCell ref="A11:C11"/>
    <mergeCell ref="A4:K4"/>
    <mergeCell ref="A52:E52"/>
    <mergeCell ref="J16:K22"/>
    <mergeCell ref="C21:I21"/>
    <mergeCell ref="J34:K37"/>
    <mergeCell ref="A26:B30"/>
    <mergeCell ref="A42:K46"/>
    <mergeCell ref="J33:K33"/>
    <mergeCell ref="G54:K54"/>
    <mergeCell ref="G48:I48"/>
    <mergeCell ref="C27:I27"/>
    <mergeCell ref="A39:B39"/>
  </mergeCells>
  <conditionalFormatting sqref="J16:K22 J34:K37">
    <cfRule type="cellIs" priority="1" operator="greaterThan" dxfId="0" stopIfTrue="1">
      <formula>$A$16</formula>
    </cfRule>
  </conditionalFormatting>
  <conditionalFormatting sqref="J26:K30">
    <cfRule type="cellIs" priority="2" operator="greaterThan" dxfId="0" stopIfTrue="1">
      <formula>$A$26</formula>
    </cfRule>
  </conditionalFormatting>
  <conditionalFormatting sqref="J39:K39">
    <cfRule type="cellIs" priority="3" operator="greaterThan" dxfId="0" stopIfTrue="1">
      <formula>200</formula>
    </cfRule>
  </conditionalFormatting>
  <dataValidations count="3">
    <dataValidation sqref="D10" showDropDown="0" showInputMessage="0" showErrorMessage="0" allowBlank="1" errorTitle="Valor inválido" error="Seleccione um valor da lista." type="list">
      <formula1>='Auxiliar'!$B$6:$B$8</formula1>
    </dataValidation>
    <dataValidation sqref="D12" showDropDown="0" showInputMessage="0" showErrorMessage="0" allowBlank="1" errorTitle="Valor inválido" error="Seleccione um valor da lista." type="list">
      <formula1>='Auxiliar'!$D$6:$D$8</formula1>
    </dataValidation>
    <dataValidation sqref="D11" showDropDown="0" showInputMessage="0" showErrorMessage="0" allowBlank="1" errorTitle="Valor inválido" error="Seleccione um valor da lista." type="list">
      <formula1>='Auxiliar'!$B$16:$B$18</formula1>
    </dataValidation>
  </dataValidations>
  <printOptions horizontalCentered="1"/>
  <pageMargins left="0.984251968503937" right="0.5905511811023623" top="0.5905511811023623" bottom="0.5905511811023623" header="0" footer="0"/>
  <pageSetup orientation="portrait" paperSize="9" scale="9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2:M56"/>
  <sheetViews>
    <sheetView zoomScale="150" workbookViewId="0">
      <selection activeCell="B57" sqref="B57"/>
    </sheetView>
  </sheetViews>
  <sheetFormatPr baseColWidth="8" defaultColWidth="9.140625" defaultRowHeight="12.75" customHeight="1"/>
  <cols>
    <col width="8.5703125" customWidth="1" style="42" min="1" max="5"/>
    <col width="2" customWidth="1" style="42" min="6" max="6"/>
    <col width="8.5703125" customWidth="1" style="42" min="7" max="11"/>
    <col width="9.140625" customWidth="1" style="42" min="12" max="16"/>
    <col width="9.140625" customWidth="1" style="42" min="17" max="16384"/>
  </cols>
  <sheetData>
    <row r="2" ht="16.9" customHeight="1" s="90">
      <c r="B2" s="9" t="n"/>
      <c r="C2" s="9" t="n"/>
      <c r="D2" s="9" t="inlineStr">
        <is>
          <t>Agrupamento de Escolas Raul Proença</t>
        </is>
      </c>
      <c r="E2" s="9" t="n"/>
      <c r="F2" s="9" t="n"/>
      <c r="G2" s="9" t="n"/>
      <c r="H2" s="9" t="n"/>
      <c r="I2" s="9" t="n"/>
      <c r="J2" s="9" t="n"/>
      <c r="K2" s="9" t="n"/>
    </row>
    <row r="4" ht="15" customHeight="1" s="90">
      <c r="A4" s="57" t="inlineStr">
        <is>
          <t>Ano letivo 2025/2026</t>
        </is>
      </c>
    </row>
    <row r="5" ht="7.5" customHeight="1" s="90">
      <c r="A5" s="2" t="n"/>
    </row>
    <row r="6" ht="15" customHeight="1" s="90">
      <c r="A6" s="43" t="inlineStr">
        <is>
          <t>Ata de Avaliação da Prova de Aptidão Profissional</t>
        </is>
      </c>
    </row>
    <row r="7" ht="12.75" customHeight="1" s="90">
      <c r="A7" s="3" t="n"/>
    </row>
    <row r="8" ht="12.75" customHeight="1" s="90">
      <c r="A8" s="41" t="inlineStr">
        <is>
          <t>Aluno:</t>
        </is>
      </c>
      <c r="D8" s="96" t="inlineStr">
        <is>
          <t>Rodrigo Manuel Timóteo Santos</t>
        </is>
      </c>
      <c r="E8" s="38" t="n"/>
      <c r="F8" s="38" t="n"/>
      <c r="G8" s="38" t="n"/>
      <c r="H8" s="38" t="n"/>
      <c r="I8" s="38" t="n"/>
      <c r="J8" s="38" t="n"/>
      <c r="K8" s="7" t="n"/>
    </row>
    <row r="9" ht="12.75" customHeight="1" s="90">
      <c r="A9" s="41" t="n"/>
      <c r="B9" s="41" t="n"/>
      <c r="C9" s="41" t="inlineStr">
        <is>
          <t>Tema:</t>
        </is>
      </c>
      <c r="D9" s="96" t="inlineStr">
        <is>
          <t>Dragon Tower - Jogo 3D de Mundo Aberto</t>
        </is>
      </c>
      <c r="E9" s="38" t="n"/>
      <c r="F9" s="38" t="n"/>
      <c r="G9" s="38" t="n"/>
      <c r="H9" s="38" t="n"/>
      <c r="I9" s="38" t="n"/>
      <c r="J9" s="38" t="n"/>
      <c r="K9" s="7" t="n"/>
    </row>
    <row r="10" ht="18" customHeight="1" s="90">
      <c r="A10" s="41" t="inlineStr">
        <is>
          <t>Área de Formação:</t>
        </is>
      </c>
      <c r="D10" s="95" t="inlineStr">
        <is>
          <t>Ciências Informáticas (481)</t>
        </is>
      </c>
      <c r="E10" s="95" t="n"/>
      <c r="F10" s="95" t="n"/>
      <c r="G10" s="95" t="n"/>
      <c r="H10" s="95" t="n"/>
      <c r="I10" s="95" t="n"/>
      <c r="J10" s="95" t="n"/>
      <c r="K10" s="7" t="n"/>
    </row>
    <row r="11" ht="18.75" customHeight="1" s="90">
      <c r="A11" s="41" t="inlineStr">
        <is>
          <t>Curso Profissional:</t>
        </is>
      </c>
      <c r="D11" s="95" t="inlineStr">
        <is>
          <t>Técnico de Gestão e Programação de Sistemas Informáticos</t>
        </is>
      </c>
      <c r="E11" s="95" t="n"/>
      <c r="F11" s="95" t="n"/>
      <c r="G11" s="95" t="n"/>
      <c r="H11" s="95" t="n"/>
      <c r="I11" s="95" t="n"/>
      <c r="J11" s="95" t="n"/>
      <c r="K11" s="7" t="n"/>
    </row>
    <row r="12" ht="18" customHeight="1" s="90">
      <c r="A12" s="41" t="inlineStr">
        <is>
          <t>Saída Profissional:</t>
        </is>
      </c>
      <c r="D12" s="95" t="inlineStr">
        <is>
          <t>Técnico de Gestão e Programação de Sistemas Informáticos</t>
        </is>
      </c>
      <c r="E12" s="95" t="n"/>
      <c r="F12" s="95" t="n"/>
      <c r="G12" s="95" t="n"/>
      <c r="H12" s="95" t="n"/>
      <c r="I12" s="95" t="n"/>
      <c r="J12" s="95" t="n"/>
      <c r="K12" s="7" t="n"/>
    </row>
    <row r="13" ht="7.5" customHeight="1" s="90">
      <c r="A13" s="3" t="n"/>
    </row>
    <row r="14" ht="15" customHeight="1" s="90">
      <c r="A14" s="40" t="inlineStr">
        <is>
          <t>A – Desenvolvimento do Projeto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1" t="n"/>
    </row>
    <row r="15" ht="15" customHeight="1" s="90">
      <c r="A15" s="36" t="inlineStr">
        <is>
          <t>Cotação máxima</t>
        </is>
      </c>
      <c r="B15" s="31" t="n"/>
      <c r="C15" s="36" t="inlineStr">
        <is>
          <t>Itens avaliados</t>
        </is>
      </c>
      <c r="D15" s="33" t="n"/>
      <c r="E15" s="33" t="n"/>
      <c r="F15" s="33" t="n"/>
      <c r="G15" s="33" t="n"/>
      <c r="H15" s="33" t="n"/>
      <c r="I15" s="31" t="n"/>
      <c r="J15" s="36" t="inlineStr">
        <is>
          <t>Cotação atribuída</t>
        </is>
      </c>
      <c r="K15" s="31" t="n"/>
    </row>
    <row r="16" ht="12.75" customHeight="1" s="90">
      <c r="A16" s="36" t="n">
        <v>100</v>
      </c>
      <c r="B16" s="45" t="n"/>
      <c r="C16" s="32" t="inlineStr">
        <is>
          <t>Definição dos objectivos do projeto</t>
        </is>
      </c>
      <c r="D16" s="33" t="n"/>
      <c r="E16" s="33" t="n"/>
      <c r="F16" s="33" t="n"/>
      <c r="G16" s="33" t="n"/>
      <c r="H16" s="33" t="n"/>
      <c r="I16" s="31" t="n"/>
      <c r="J16" s="51">
        <f>'Avaliação'!W22*5</f>
        <v/>
      </c>
      <c r="K16" s="52" t="n"/>
    </row>
    <row r="17" ht="12.75" customHeight="1" s="90">
      <c r="A17" s="46" t="n"/>
      <c r="B17" s="47" t="n"/>
      <c r="C17" s="32" t="inlineStr">
        <is>
          <t>Qualidade científica e técnica</t>
        </is>
      </c>
      <c r="D17" s="33" t="n"/>
      <c r="E17" s="33" t="n"/>
      <c r="F17" s="33" t="n"/>
      <c r="G17" s="33" t="n"/>
      <c r="H17" s="33" t="n"/>
      <c r="I17" s="31" t="n"/>
      <c r="J17" s="53" t="n"/>
      <c r="K17" s="54" t="n"/>
    </row>
    <row r="18" ht="12.75" customHeight="1" s="90">
      <c r="A18" s="46" t="n"/>
      <c r="B18" s="47" t="n"/>
      <c r="C18" s="32" t="inlineStr">
        <is>
          <t>Pertinência, criatividade e inovação</t>
        </is>
      </c>
      <c r="D18" s="33" t="n"/>
      <c r="E18" s="33" t="n"/>
      <c r="F18" s="33" t="n"/>
      <c r="G18" s="33" t="n"/>
      <c r="H18" s="33" t="n"/>
      <c r="I18" s="31" t="n"/>
      <c r="J18" s="53" t="n"/>
      <c r="K18" s="54" t="n"/>
      <c r="M18" s="10" t="n"/>
    </row>
    <row r="19" ht="12.75" customHeight="1" s="90">
      <c r="A19" s="46" t="n"/>
      <c r="B19" s="47" t="n"/>
      <c r="C19" s="32" t="inlineStr">
        <is>
          <t>Planeamento dos recursos necessários</t>
        </is>
      </c>
      <c r="D19" s="33" t="n"/>
      <c r="E19" s="33" t="n"/>
      <c r="F19" s="33" t="n"/>
      <c r="G19" s="33" t="n"/>
      <c r="H19" s="33" t="n"/>
      <c r="I19" s="31" t="n"/>
      <c r="J19" s="53" t="n"/>
      <c r="K19" s="54" t="n"/>
    </row>
    <row r="20" ht="12.75" customHeight="1" s="90">
      <c r="A20" s="46" t="n"/>
      <c r="B20" s="47" t="n"/>
      <c r="C20" s="32" t="inlineStr">
        <is>
          <t>Definição das fases de execução do projeto</t>
        </is>
      </c>
      <c r="D20" s="33" t="n"/>
      <c r="E20" s="33" t="n"/>
      <c r="F20" s="33" t="n"/>
      <c r="G20" s="33" t="n"/>
      <c r="H20" s="33" t="n"/>
      <c r="I20" s="31" t="n"/>
      <c r="J20" s="53" t="n"/>
      <c r="K20" s="54" t="n"/>
    </row>
    <row r="21" ht="12.75" customHeight="1" s="90">
      <c r="A21" s="46" t="n"/>
      <c r="B21" s="47" t="n"/>
      <c r="C21" s="32" t="inlineStr">
        <is>
          <t>Autonomia</t>
        </is>
      </c>
      <c r="D21" s="33" t="n"/>
      <c r="E21" s="33" t="n"/>
      <c r="F21" s="33" t="n"/>
      <c r="G21" s="33" t="n"/>
      <c r="H21" s="33" t="n"/>
      <c r="I21" s="31" t="n"/>
      <c r="J21" s="53" t="n"/>
      <c r="K21" s="54" t="n"/>
    </row>
    <row r="22" ht="12.75" customHeight="1" s="90">
      <c r="A22" s="48" t="n"/>
      <c r="B22" s="49" t="n"/>
      <c r="C22" s="32" t="inlineStr">
        <is>
          <t>Sentido de responsabilidade e gestão do tempo</t>
        </is>
      </c>
      <c r="D22" s="33" t="n"/>
      <c r="E22" s="33" t="n"/>
      <c r="F22" s="33" t="n"/>
      <c r="G22" s="33" t="n"/>
      <c r="H22" s="33" t="n"/>
      <c r="I22" s="31" t="n"/>
      <c r="J22" s="55" t="n"/>
      <c r="K22" s="56" t="n"/>
    </row>
    <row r="23" ht="7.5" customHeight="1" s="90">
      <c r="A23" s="4" t="n"/>
    </row>
    <row r="24" ht="15" customHeight="1" s="90">
      <c r="A24" s="40" t="inlineStr">
        <is>
          <t>B – Relatório final</t>
        </is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1" t="n"/>
    </row>
    <row r="25" ht="15" customHeight="1" s="90">
      <c r="A25" s="36" t="inlineStr">
        <is>
          <t>Cotação máxima</t>
        </is>
      </c>
      <c r="B25" s="31" t="n"/>
      <c r="C25" s="36" t="inlineStr">
        <is>
          <t>Itens avaliados</t>
        </is>
      </c>
      <c r="D25" s="33" t="n"/>
      <c r="E25" s="33" t="n"/>
      <c r="F25" s="33" t="n"/>
      <c r="G25" s="33" t="n"/>
      <c r="H25" s="33" t="n"/>
      <c r="I25" s="31" t="n"/>
      <c r="J25" s="36" t="inlineStr">
        <is>
          <t>Cotação atribuída</t>
        </is>
      </c>
      <c r="K25" s="31" t="n"/>
    </row>
    <row r="26" ht="12.75" customHeight="1" s="90">
      <c r="A26" s="36" t="n">
        <v>40</v>
      </c>
      <c r="B26" s="45" t="n"/>
      <c r="C26" s="32" t="inlineStr">
        <is>
          <t>Objetividade</t>
        </is>
      </c>
      <c r="D26" s="33" t="n"/>
      <c r="E26" s="33" t="n"/>
      <c r="F26" s="33" t="n"/>
      <c r="G26" s="33" t="n"/>
      <c r="H26" s="33" t="n"/>
      <c r="I26" s="31" t="n"/>
      <c r="J26" s="51">
        <f>'Avaliação'!W29*2</f>
        <v/>
      </c>
      <c r="K26" s="52" t="n"/>
    </row>
    <row r="27" ht="12.75" customHeight="1" s="90">
      <c r="A27" s="46" t="n"/>
      <c r="B27" s="47" t="n"/>
      <c r="C27" s="32" t="inlineStr">
        <is>
          <t>Pertinência das informações</t>
        </is>
      </c>
      <c r="D27" s="33" t="n"/>
      <c r="E27" s="33" t="n"/>
      <c r="F27" s="33" t="n"/>
      <c r="G27" s="33" t="n"/>
      <c r="H27" s="33" t="n"/>
      <c r="I27" s="31" t="n"/>
      <c r="J27" s="53" t="n"/>
      <c r="K27" s="54" t="n"/>
      <c r="M27" s="10" t="n"/>
    </row>
    <row r="28" ht="12.75" customHeight="1" s="90">
      <c r="A28" s="46" t="n"/>
      <c r="B28" s="47" t="n"/>
      <c r="C28" s="32" t="inlineStr">
        <is>
          <t>Identificação das dificuldades e meios de as superar</t>
        </is>
      </c>
      <c r="D28" s="33" t="n"/>
      <c r="E28" s="33" t="n"/>
      <c r="F28" s="33" t="n"/>
      <c r="G28" s="33" t="n"/>
      <c r="H28" s="33" t="n"/>
      <c r="I28" s="31" t="n"/>
      <c r="J28" s="53" t="n"/>
      <c r="K28" s="54" t="n"/>
    </row>
    <row r="29" ht="12.75" customHeight="1" s="90">
      <c r="A29" s="46" t="n"/>
      <c r="B29" s="47" t="n"/>
      <c r="C29" s="32" t="inlineStr">
        <is>
          <t>Capacidade de análise crítica</t>
        </is>
      </c>
      <c r="D29" s="33" t="n"/>
      <c r="E29" s="33" t="n"/>
      <c r="F29" s="33" t="n"/>
      <c r="G29" s="33" t="n"/>
      <c r="H29" s="33" t="n"/>
      <c r="I29" s="31" t="n"/>
      <c r="J29" s="53" t="n"/>
      <c r="K29" s="54" t="n"/>
    </row>
    <row r="30" ht="12.75" customHeight="1" s="90">
      <c r="A30" s="48" t="n"/>
      <c r="B30" s="49" t="n"/>
      <c r="C30" s="32" t="inlineStr">
        <is>
          <t>Sentido de responsabilidade e gestão do tempo</t>
        </is>
      </c>
      <c r="D30" s="33" t="n"/>
      <c r="E30" s="33" t="n"/>
      <c r="F30" s="33" t="n"/>
      <c r="G30" s="33" t="n"/>
      <c r="H30" s="33" t="n"/>
      <c r="I30" s="31" t="n"/>
      <c r="J30" s="55" t="n"/>
      <c r="K30" s="56" t="n"/>
    </row>
    <row r="31" ht="7.5" customHeight="1" s="90">
      <c r="A31" s="4" t="n"/>
    </row>
    <row r="32" ht="15" customHeight="1" s="90">
      <c r="A32" s="40" t="inlineStr">
        <is>
          <t>C – Apresentação e Defesa do Projecto</t>
        </is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1" t="n"/>
    </row>
    <row r="33" ht="15" customHeight="1" s="90">
      <c r="A33" s="36" t="inlineStr">
        <is>
          <t>Cotação máxima</t>
        </is>
      </c>
      <c r="B33" s="31" t="n"/>
      <c r="C33" s="36" t="inlineStr">
        <is>
          <t>Itens avaliados</t>
        </is>
      </c>
      <c r="D33" s="33" t="n"/>
      <c r="E33" s="33" t="n"/>
      <c r="F33" s="33" t="n"/>
      <c r="G33" s="33" t="n"/>
      <c r="H33" s="33" t="n"/>
      <c r="I33" s="31" t="n"/>
      <c r="J33" s="36" t="inlineStr">
        <is>
          <t>Cotação atribuída</t>
        </is>
      </c>
      <c r="K33" s="31" t="n"/>
    </row>
    <row r="34" ht="12.75" customHeight="1" s="90">
      <c r="A34" s="36" t="n">
        <v>60</v>
      </c>
      <c r="B34" s="45" t="n"/>
      <c r="C34" s="32" t="inlineStr">
        <is>
          <t xml:space="preserve">Capacidade de expressão oral e de expressão corporal </t>
        </is>
      </c>
      <c r="D34" s="33" t="n"/>
      <c r="E34" s="33" t="n"/>
      <c r="F34" s="33" t="n"/>
      <c r="G34" s="33" t="n"/>
      <c r="H34" s="33" t="n"/>
      <c r="I34" s="31" t="n"/>
      <c r="J34" s="51">
        <f>'Avaliação'!W35*3</f>
        <v/>
      </c>
      <c r="K34" s="52" t="n"/>
    </row>
    <row r="35" ht="12.75" customHeight="1" s="90">
      <c r="A35" s="46" t="n"/>
      <c r="B35" s="47" t="n"/>
      <c r="C35" s="32" t="inlineStr">
        <is>
          <t>Capacidade de síntese</t>
        </is>
      </c>
      <c r="D35" s="33" t="n"/>
      <c r="E35" s="33" t="n"/>
      <c r="F35" s="33" t="n"/>
      <c r="G35" s="33" t="n"/>
      <c r="H35" s="33" t="n"/>
      <c r="I35" s="31" t="n"/>
      <c r="J35" s="53" t="n"/>
      <c r="K35" s="54" t="n"/>
    </row>
    <row r="36" ht="12.75" customHeight="1" s="90">
      <c r="A36" s="46" t="n"/>
      <c r="B36" s="47" t="n"/>
      <c r="C36" s="32" t="inlineStr">
        <is>
          <t>Qualidade dos recursos/estratégias utilizadas na apresentação</t>
        </is>
      </c>
      <c r="D36" s="33" t="n"/>
      <c r="E36" s="33" t="n"/>
      <c r="F36" s="33" t="n"/>
      <c r="G36" s="33" t="n"/>
      <c r="H36" s="33" t="n"/>
      <c r="I36" s="31" t="n"/>
      <c r="J36" s="53" t="n"/>
      <c r="K36" s="54" t="n"/>
      <c r="M36" s="10" t="n"/>
    </row>
    <row r="37" ht="12.75" customHeight="1" s="90">
      <c r="A37" s="48" t="n"/>
      <c r="B37" s="49" t="n"/>
      <c r="C37" s="32" t="inlineStr">
        <is>
          <t>Qualidade de argumentação na defesa do projeto</t>
        </is>
      </c>
      <c r="D37" s="33" t="n"/>
      <c r="E37" s="33" t="n"/>
      <c r="F37" s="33" t="n"/>
      <c r="G37" s="33" t="n"/>
      <c r="H37" s="33" t="n"/>
      <c r="I37" s="31" t="n"/>
      <c r="J37" s="55" t="n"/>
      <c r="K37" s="56" t="n"/>
    </row>
    <row r="38" ht="7.5" customHeight="1" s="90">
      <c r="A38" s="6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 ht="19.5" customHeight="1" s="90">
      <c r="A39" s="39">
        <f>SUM(A16,A26,A34)</f>
        <v/>
      </c>
      <c r="B39" s="31" t="n"/>
      <c r="C39" s="39" t="inlineStr">
        <is>
          <t>Avaliação Final</t>
        </is>
      </c>
      <c r="D39" s="33" t="n"/>
      <c r="E39" s="33" t="n"/>
      <c r="F39" s="33" t="n"/>
      <c r="G39" s="33" t="n"/>
      <c r="H39" s="33" t="n"/>
      <c r="I39" s="31" t="n"/>
      <c r="J39" s="30">
        <f>ROUND(SUM(J16,J26,J34),0)</f>
        <v/>
      </c>
      <c r="K39" s="31" t="n"/>
    </row>
    <row r="40" ht="7.5" customHeight="1" s="90">
      <c r="A40" s="4" t="n"/>
    </row>
    <row r="41" ht="12.75" customHeight="1" s="90">
      <c r="A41" s="40" t="inlineStr">
        <is>
          <t>Observações:</t>
        </is>
      </c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1" t="n"/>
    </row>
    <row r="42" ht="12.75" customHeight="1" s="90">
      <c r="A42" s="58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2" t="n"/>
    </row>
    <row r="43" ht="12.75" customHeight="1" s="90">
      <c r="A43" s="53" t="n"/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54" t="n"/>
    </row>
    <row r="44" ht="12.75" customHeight="1" s="90">
      <c r="A44" s="53" t="n"/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54" t="n"/>
    </row>
    <row r="45" ht="12.75" customHeight="1" s="90">
      <c r="A45" s="53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54" t="n"/>
    </row>
    <row r="46" ht="12.75" customHeight="1" s="90">
      <c r="A46" s="55" t="n"/>
      <c r="B46" s="60" t="n"/>
      <c r="C46" s="60" t="n"/>
      <c r="D46" s="60" t="n"/>
      <c r="E46" s="60" t="n"/>
      <c r="F46" s="60" t="n"/>
      <c r="G46" s="60" t="n"/>
      <c r="H46" s="60" t="n"/>
      <c r="I46" s="60" t="n"/>
      <c r="J46" s="60" t="n"/>
      <c r="K46" s="56" t="n"/>
    </row>
    <row r="47" ht="7.5" customHeight="1" s="90">
      <c r="A47" s="5" t="n"/>
    </row>
    <row r="48" ht="12.75" customHeight="1" s="90">
      <c r="B48" s="5" t="n"/>
      <c r="C48" s="44" t="inlineStr">
        <is>
          <t xml:space="preserve">Caldas da Rainha, </t>
        </is>
      </c>
      <c r="F48" s="5" t="n"/>
      <c r="G48" s="61">
        <f>NOW()</f>
        <v/>
      </c>
      <c r="J48" s="5" t="n"/>
      <c r="K48" s="5" t="n"/>
    </row>
    <row r="49" ht="7.5" customHeight="1" s="90">
      <c r="A49" s="5" t="n"/>
    </row>
    <row r="50" ht="12.75" customHeight="1" s="90">
      <c r="A50" s="5" t="n"/>
      <c r="E50" s="50" t="inlineStr">
        <is>
          <t>O Júri da Prova</t>
        </is>
      </c>
    </row>
    <row r="51" ht="7.5" customHeight="1" s="90">
      <c r="A51" s="5" t="n"/>
    </row>
    <row r="52" ht="12.75" customHeight="1" s="90">
      <c r="A52" s="35" t="inlineStr">
        <is>
          <t>Qualidade em que está nomeado</t>
        </is>
      </c>
      <c r="B52" s="33" t="n"/>
      <c r="C52" s="33" t="n"/>
      <c r="D52" s="33" t="n"/>
      <c r="E52" s="31" t="n"/>
      <c r="G52" s="35" t="inlineStr">
        <is>
          <t>Assinatura</t>
        </is>
      </c>
      <c r="H52" s="33" t="n"/>
      <c r="I52" s="33" t="n"/>
      <c r="J52" s="33" t="n"/>
      <c r="K52" s="31" t="n"/>
    </row>
    <row r="53" ht="22.5" customHeight="1" s="90">
      <c r="A53" s="32" t="inlineStr">
        <is>
          <t>Presidente do Júri</t>
        </is>
      </c>
      <c r="B53" s="33" t="n"/>
      <c r="C53" s="33" t="n"/>
      <c r="D53" s="33" t="n"/>
      <c r="E53" s="31" t="n"/>
      <c r="G53" s="34" t="n"/>
      <c r="H53" s="33" t="n"/>
      <c r="I53" s="33" t="n"/>
      <c r="J53" s="33" t="n"/>
      <c r="K53" s="31" t="n"/>
    </row>
    <row r="54" ht="22.5" customHeight="1" s="90">
      <c r="A54" s="32" t="inlineStr">
        <is>
          <t>Professor Orientador do Projeto</t>
        </is>
      </c>
      <c r="B54" s="33" t="n"/>
      <c r="C54" s="33" t="n"/>
      <c r="D54" s="33" t="n"/>
      <c r="E54" s="31" t="n"/>
      <c r="G54" s="34" t="n"/>
      <c r="H54" s="33" t="n"/>
      <c r="I54" s="33" t="n"/>
      <c r="J54" s="33" t="n"/>
      <c r="K54" s="31" t="n"/>
    </row>
    <row r="55" ht="22.5" customHeight="1" s="90">
      <c r="A55" s="32" t="inlineStr">
        <is>
          <t>Representante das Associações Empresariais</t>
        </is>
      </c>
      <c r="B55" s="33" t="n"/>
      <c r="C55" s="33" t="n"/>
      <c r="D55" s="33" t="n"/>
      <c r="E55" s="31" t="n"/>
      <c r="G55" s="34" t="n"/>
      <c r="H55" s="33" t="n"/>
      <c r="I55" s="33" t="n"/>
      <c r="J55" s="33" t="n"/>
      <c r="K55" s="31" t="n"/>
    </row>
    <row r="56" ht="22.5" customHeight="1" s="90">
      <c r="A56" s="32" t="inlineStr">
        <is>
          <t>Personalidade de reconhecido mérito</t>
        </is>
      </c>
      <c r="B56" s="33" t="n"/>
      <c r="C56" s="33" t="n"/>
      <c r="D56" s="33" t="n"/>
      <c r="E56" s="31" t="n"/>
      <c r="G56" s="34" t="n"/>
      <c r="H56" s="33" t="n"/>
      <c r="I56" s="33" t="n"/>
      <c r="J56" s="33" t="n"/>
      <c r="K56" s="31" t="n"/>
    </row>
  </sheetData>
  <mergeCells count="60">
    <mergeCell ref="J39:K39"/>
    <mergeCell ref="C36:I36"/>
    <mergeCell ref="G56:K56"/>
    <mergeCell ref="G52:K52"/>
    <mergeCell ref="A15:B15"/>
    <mergeCell ref="D9:J9"/>
    <mergeCell ref="C17:I17"/>
    <mergeCell ref="C39:I39"/>
    <mergeCell ref="D8:J8"/>
    <mergeCell ref="A24:K24"/>
    <mergeCell ref="A12:C12"/>
    <mergeCell ref="C19:I19"/>
    <mergeCell ref="C37:I37"/>
    <mergeCell ref="A6:K6"/>
    <mergeCell ref="C28:I28"/>
    <mergeCell ref="C18:I18"/>
    <mergeCell ref="A25:B25"/>
    <mergeCell ref="A54:E54"/>
    <mergeCell ref="A8:C8"/>
    <mergeCell ref="J15:K15"/>
    <mergeCell ref="A41:K41"/>
    <mergeCell ref="C34:I34"/>
    <mergeCell ref="C48:E48"/>
    <mergeCell ref="C30:I30"/>
    <mergeCell ref="G53:K53"/>
    <mergeCell ref="C15:I15"/>
    <mergeCell ref="C33:I33"/>
    <mergeCell ref="A56:E56"/>
    <mergeCell ref="A10:C10"/>
    <mergeCell ref="A55:E55"/>
    <mergeCell ref="A34:B37"/>
    <mergeCell ref="C26:I26"/>
    <mergeCell ref="A33:B33"/>
    <mergeCell ref="C35:I35"/>
    <mergeCell ref="J25:K25"/>
    <mergeCell ref="C20:I20"/>
    <mergeCell ref="E50:G50"/>
    <mergeCell ref="C29:I29"/>
    <mergeCell ref="C16:I16"/>
    <mergeCell ref="A32:K32"/>
    <mergeCell ref="A14:K14"/>
    <mergeCell ref="J26:K30"/>
    <mergeCell ref="C25:I25"/>
    <mergeCell ref="G55:K55"/>
    <mergeCell ref="A16:B22"/>
    <mergeCell ref="A53:E53"/>
    <mergeCell ref="C22:I22"/>
    <mergeCell ref="A11:C11"/>
    <mergeCell ref="A4:K4"/>
    <mergeCell ref="A52:E52"/>
    <mergeCell ref="J16:K22"/>
    <mergeCell ref="C21:I21"/>
    <mergeCell ref="J34:K37"/>
    <mergeCell ref="A26:B30"/>
    <mergeCell ref="A42:K46"/>
    <mergeCell ref="J33:K33"/>
    <mergeCell ref="G54:K54"/>
    <mergeCell ref="G48:I48"/>
    <mergeCell ref="C27:I27"/>
    <mergeCell ref="A39:B39"/>
  </mergeCells>
  <conditionalFormatting sqref="J16:K22 J34:K37">
    <cfRule type="cellIs" priority="1" operator="greaterThan" dxfId="0" stopIfTrue="1">
      <formula>$A$16</formula>
    </cfRule>
  </conditionalFormatting>
  <conditionalFormatting sqref="J26:K30">
    <cfRule type="cellIs" priority="2" operator="greaterThan" dxfId="0" stopIfTrue="1">
      <formula>$A$26</formula>
    </cfRule>
  </conditionalFormatting>
  <conditionalFormatting sqref="J39:K39">
    <cfRule type="cellIs" priority="3" operator="greaterThan" dxfId="0" stopIfTrue="1">
      <formula>200</formula>
    </cfRule>
  </conditionalFormatting>
  <dataValidations count="3">
    <dataValidation sqref="D10" showDropDown="0" showInputMessage="0" showErrorMessage="0" allowBlank="1" errorTitle="Valor inválido" error="Seleccione um valor da lista." type="list">
      <formula1>='Auxiliar'!$B$6:$B$8</formula1>
    </dataValidation>
    <dataValidation sqref="D12" showDropDown="0" showInputMessage="0" showErrorMessage="0" allowBlank="1" errorTitle="Valor inválido" error="Seleccione um valor da lista." type="list">
      <formula1>='Auxiliar'!$D$6:$D$8</formula1>
    </dataValidation>
    <dataValidation sqref="D11" showDropDown="0" showInputMessage="0" showErrorMessage="0" allowBlank="1" errorTitle="Valor inválido" error="Seleccione um valor da lista." type="list">
      <formula1>='Auxiliar'!$B$16:$B$18</formula1>
    </dataValidation>
  </dataValidations>
  <printOptions horizontalCentered="1"/>
  <pageMargins left="0.984251968503937" right="0.5905511811023623" top="0.5905511811023623" bottom="0.5905511811023623" header="0" footer="0"/>
  <pageSetup orientation="portrait" paperSize="9" scale="9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2:M56"/>
  <sheetViews>
    <sheetView zoomScale="150" workbookViewId="0">
      <selection activeCell="B57" sqref="B57"/>
    </sheetView>
  </sheetViews>
  <sheetFormatPr baseColWidth="8" defaultColWidth="9.140625" defaultRowHeight="12.75" customHeight="1"/>
  <cols>
    <col width="8.5703125" customWidth="1" style="42" min="1" max="5"/>
    <col width="2" customWidth="1" style="42" min="6" max="6"/>
    <col width="8.5703125" customWidth="1" style="42" min="7" max="11"/>
    <col width="9.140625" customWidth="1" style="42" min="12" max="16"/>
    <col width="9.140625" customWidth="1" style="42" min="17" max="16384"/>
  </cols>
  <sheetData>
    <row r="2" ht="16.9" customHeight="1" s="90">
      <c r="B2" s="9" t="n"/>
      <c r="C2" s="9" t="n"/>
      <c r="D2" s="9" t="inlineStr">
        <is>
          <t>Agrupamento de Escolas Raul Proença</t>
        </is>
      </c>
      <c r="E2" s="9" t="n"/>
      <c r="F2" s="9" t="n"/>
      <c r="G2" s="9" t="n"/>
      <c r="H2" s="9" t="n"/>
      <c r="I2" s="9" t="n"/>
      <c r="J2" s="9" t="n"/>
      <c r="K2" s="9" t="n"/>
    </row>
    <row r="4" ht="15" customHeight="1" s="90">
      <c r="A4" s="57" t="inlineStr">
        <is>
          <t>Ano letivo 2025/2026</t>
        </is>
      </c>
    </row>
    <row r="5" ht="7.5" customHeight="1" s="90">
      <c r="A5" s="2" t="n"/>
    </row>
    <row r="6" ht="15" customHeight="1" s="90">
      <c r="A6" s="43" t="inlineStr">
        <is>
          <t>Ata de Avaliação da Prova de Aptidão Profissional</t>
        </is>
      </c>
    </row>
    <row r="7" ht="12.75" customHeight="1" s="90">
      <c r="A7" s="3" t="n"/>
    </row>
    <row r="8" ht="12.75" customHeight="1" s="90">
      <c r="A8" s="41" t="inlineStr">
        <is>
          <t>Aluno:</t>
        </is>
      </c>
      <c r="D8" s="96" t="inlineStr">
        <is>
          <t>Rodrigo Silva Roque</t>
        </is>
      </c>
      <c r="E8" s="38" t="n"/>
      <c r="F8" s="38" t="n"/>
      <c r="G8" s="38" t="n"/>
      <c r="H8" s="38" t="n"/>
      <c r="I8" s="38" t="n"/>
      <c r="J8" s="38" t="n"/>
      <c r="K8" s="7" t="n"/>
    </row>
    <row r="9" ht="12.75" customHeight="1" s="90">
      <c r="A9" s="41" t="n"/>
      <c r="B9" s="41" t="n"/>
      <c r="C9" s="41" t="inlineStr">
        <is>
          <t>Tema:</t>
        </is>
      </c>
      <c r="D9" s="96" t="inlineStr">
        <is>
          <t>StocX - Plataforma Web de Gestão do Inventário da Escola</t>
        </is>
      </c>
      <c r="E9" s="38" t="n"/>
      <c r="F9" s="38" t="n"/>
      <c r="G9" s="38" t="n"/>
      <c r="H9" s="38" t="n"/>
      <c r="I9" s="38" t="n"/>
      <c r="J9" s="38" t="n"/>
      <c r="K9" s="7" t="n"/>
    </row>
    <row r="10" ht="18" customHeight="1" s="90">
      <c r="A10" s="41" t="inlineStr">
        <is>
          <t>Área de Formação:</t>
        </is>
      </c>
      <c r="D10" s="95" t="inlineStr">
        <is>
          <t>Ciências Informáticas (481)</t>
        </is>
      </c>
      <c r="E10" s="95" t="n"/>
      <c r="F10" s="95" t="n"/>
      <c r="G10" s="95" t="n"/>
      <c r="H10" s="95" t="n"/>
      <c r="I10" s="95" t="n"/>
      <c r="J10" s="95" t="n"/>
      <c r="K10" s="7" t="n"/>
    </row>
    <row r="11" ht="18.75" customHeight="1" s="90">
      <c r="A11" s="41" t="inlineStr">
        <is>
          <t>Curso Profissional:</t>
        </is>
      </c>
      <c r="D11" s="95" t="inlineStr">
        <is>
          <t>Técnico de Gestão e Programação de Sistemas Informáticos</t>
        </is>
      </c>
      <c r="E11" s="95" t="n"/>
      <c r="F11" s="95" t="n"/>
      <c r="G11" s="95" t="n"/>
      <c r="H11" s="95" t="n"/>
      <c r="I11" s="95" t="n"/>
      <c r="J11" s="95" t="n"/>
      <c r="K11" s="7" t="n"/>
    </row>
    <row r="12" ht="18" customHeight="1" s="90">
      <c r="A12" s="41" t="inlineStr">
        <is>
          <t>Saída Profissional:</t>
        </is>
      </c>
      <c r="D12" s="95" t="inlineStr">
        <is>
          <t>Técnico de Gestão e Programação de Sistemas Informáticos</t>
        </is>
      </c>
      <c r="E12" s="95" t="n"/>
      <c r="F12" s="95" t="n"/>
      <c r="G12" s="95" t="n"/>
      <c r="H12" s="95" t="n"/>
      <c r="I12" s="95" t="n"/>
      <c r="J12" s="95" t="n"/>
      <c r="K12" s="7" t="n"/>
    </row>
    <row r="13" ht="7.5" customHeight="1" s="90">
      <c r="A13" s="3" t="n"/>
    </row>
    <row r="14" ht="15" customHeight="1" s="90">
      <c r="A14" s="40" t="inlineStr">
        <is>
          <t>A – Desenvolvimento do Projeto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1" t="n"/>
    </row>
    <row r="15" ht="15" customHeight="1" s="90">
      <c r="A15" s="36" t="inlineStr">
        <is>
          <t>Cotação máxima</t>
        </is>
      </c>
      <c r="B15" s="31" t="n"/>
      <c r="C15" s="36" t="inlineStr">
        <is>
          <t>Itens avaliados</t>
        </is>
      </c>
      <c r="D15" s="33" t="n"/>
      <c r="E15" s="33" t="n"/>
      <c r="F15" s="33" t="n"/>
      <c r="G15" s="33" t="n"/>
      <c r="H15" s="33" t="n"/>
      <c r="I15" s="31" t="n"/>
      <c r="J15" s="36" t="inlineStr">
        <is>
          <t>Cotação atribuída</t>
        </is>
      </c>
      <c r="K15" s="31" t="n"/>
    </row>
    <row r="16" ht="12.75" customHeight="1" s="90">
      <c r="A16" s="36" t="n">
        <v>100</v>
      </c>
      <c r="B16" s="45" t="n"/>
      <c r="C16" s="32" t="inlineStr">
        <is>
          <t>Definição dos objectivos do projeto</t>
        </is>
      </c>
      <c r="D16" s="33" t="n"/>
      <c r="E16" s="33" t="n"/>
      <c r="F16" s="33" t="n"/>
      <c r="G16" s="33" t="n"/>
      <c r="H16" s="33" t="n"/>
      <c r="I16" s="31" t="n"/>
      <c r="J16" s="51">
        <f>'Avaliação'!X22*5</f>
        <v/>
      </c>
      <c r="K16" s="52" t="n"/>
    </row>
    <row r="17" ht="12.75" customHeight="1" s="90">
      <c r="A17" s="46" t="n"/>
      <c r="B17" s="47" t="n"/>
      <c r="C17" s="32" t="inlineStr">
        <is>
          <t>Qualidade científica e técnica</t>
        </is>
      </c>
      <c r="D17" s="33" t="n"/>
      <c r="E17" s="33" t="n"/>
      <c r="F17" s="33" t="n"/>
      <c r="G17" s="33" t="n"/>
      <c r="H17" s="33" t="n"/>
      <c r="I17" s="31" t="n"/>
      <c r="J17" s="53" t="n"/>
      <c r="K17" s="54" t="n"/>
    </row>
    <row r="18" ht="12.75" customHeight="1" s="90">
      <c r="A18" s="46" t="n"/>
      <c r="B18" s="47" t="n"/>
      <c r="C18" s="32" t="inlineStr">
        <is>
          <t>Pertinência, criatividade e inovação</t>
        </is>
      </c>
      <c r="D18" s="33" t="n"/>
      <c r="E18" s="33" t="n"/>
      <c r="F18" s="33" t="n"/>
      <c r="G18" s="33" t="n"/>
      <c r="H18" s="33" t="n"/>
      <c r="I18" s="31" t="n"/>
      <c r="J18" s="53" t="n"/>
      <c r="K18" s="54" t="n"/>
      <c r="M18" s="10" t="n"/>
    </row>
    <row r="19" ht="12.75" customHeight="1" s="90">
      <c r="A19" s="46" t="n"/>
      <c r="B19" s="47" t="n"/>
      <c r="C19" s="32" t="inlineStr">
        <is>
          <t>Planeamento dos recursos necessários</t>
        </is>
      </c>
      <c r="D19" s="33" t="n"/>
      <c r="E19" s="33" t="n"/>
      <c r="F19" s="33" t="n"/>
      <c r="G19" s="33" t="n"/>
      <c r="H19" s="33" t="n"/>
      <c r="I19" s="31" t="n"/>
      <c r="J19" s="53" t="n"/>
      <c r="K19" s="54" t="n"/>
    </row>
    <row r="20" ht="12.75" customHeight="1" s="90">
      <c r="A20" s="46" t="n"/>
      <c r="B20" s="47" t="n"/>
      <c r="C20" s="32" t="inlineStr">
        <is>
          <t>Definição das fases de execução do projeto</t>
        </is>
      </c>
      <c r="D20" s="33" t="n"/>
      <c r="E20" s="33" t="n"/>
      <c r="F20" s="33" t="n"/>
      <c r="G20" s="33" t="n"/>
      <c r="H20" s="33" t="n"/>
      <c r="I20" s="31" t="n"/>
      <c r="J20" s="53" t="n"/>
      <c r="K20" s="54" t="n"/>
    </row>
    <row r="21" ht="12.75" customHeight="1" s="90">
      <c r="A21" s="46" t="n"/>
      <c r="B21" s="47" t="n"/>
      <c r="C21" s="32" t="inlineStr">
        <is>
          <t>Autonomia</t>
        </is>
      </c>
      <c r="D21" s="33" t="n"/>
      <c r="E21" s="33" t="n"/>
      <c r="F21" s="33" t="n"/>
      <c r="G21" s="33" t="n"/>
      <c r="H21" s="33" t="n"/>
      <c r="I21" s="31" t="n"/>
      <c r="J21" s="53" t="n"/>
      <c r="K21" s="54" t="n"/>
    </row>
    <row r="22" ht="12.75" customHeight="1" s="90">
      <c r="A22" s="48" t="n"/>
      <c r="B22" s="49" t="n"/>
      <c r="C22" s="32" t="inlineStr">
        <is>
          <t>Sentido de responsabilidade e gestão do tempo</t>
        </is>
      </c>
      <c r="D22" s="33" t="n"/>
      <c r="E22" s="33" t="n"/>
      <c r="F22" s="33" t="n"/>
      <c r="G22" s="33" t="n"/>
      <c r="H22" s="33" t="n"/>
      <c r="I22" s="31" t="n"/>
      <c r="J22" s="55" t="n"/>
      <c r="K22" s="56" t="n"/>
    </row>
    <row r="23" ht="7.5" customHeight="1" s="90">
      <c r="A23" s="4" t="n"/>
    </row>
    <row r="24" ht="15" customHeight="1" s="90">
      <c r="A24" s="40" t="inlineStr">
        <is>
          <t>B – Relatório final</t>
        </is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1" t="n"/>
    </row>
    <row r="25" ht="15" customHeight="1" s="90">
      <c r="A25" s="36" t="inlineStr">
        <is>
          <t>Cotação máxima</t>
        </is>
      </c>
      <c r="B25" s="31" t="n"/>
      <c r="C25" s="36" t="inlineStr">
        <is>
          <t>Itens avaliados</t>
        </is>
      </c>
      <c r="D25" s="33" t="n"/>
      <c r="E25" s="33" t="n"/>
      <c r="F25" s="33" t="n"/>
      <c r="G25" s="33" t="n"/>
      <c r="H25" s="33" t="n"/>
      <c r="I25" s="31" t="n"/>
      <c r="J25" s="36" t="inlineStr">
        <is>
          <t>Cotação atribuída</t>
        </is>
      </c>
      <c r="K25" s="31" t="n"/>
    </row>
    <row r="26" ht="12.75" customHeight="1" s="90">
      <c r="A26" s="36" t="n">
        <v>40</v>
      </c>
      <c r="B26" s="45" t="n"/>
      <c r="C26" s="32" t="inlineStr">
        <is>
          <t>Objetividade</t>
        </is>
      </c>
      <c r="D26" s="33" t="n"/>
      <c r="E26" s="33" t="n"/>
      <c r="F26" s="33" t="n"/>
      <c r="G26" s="33" t="n"/>
      <c r="H26" s="33" t="n"/>
      <c r="I26" s="31" t="n"/>
      <c r="J26" s="51">
        <f>'Avaliação'!X29*2</f>
        <v/>
      </c>
      <c r="K26" s="52" t="n"/>
    </row>
    <row r="27" ht="12.75" customHeight="1" s="90">
      <c r="A27" s="46" t="n"/>
      <c r="B27" s="47" t="n"/>
      <c r="C27" s="32" t="inlineStr">
        <is>
          <t>Pertinência das informações</t>
        </is>
      </c>
      <c r="D27" s="33" t="n"/>
      <c r="E27" s="33" t="n"/>
      <c r="F27" s="33" t="n"/>
      <c r="G27" s="33" t="n"/>
      <c r="H27" s="33" t="n"/>
      <c r="I27" s="31" t="n"/>
      <c r="J27" s="53" t="n"/>
      <c r="K27" s="54" t="n"/>
      <c r="M27" s="10" t="n"/>
    </row>
    <row r="28" ht="12.75" customHeight="1" s="90">
      <c r="A28" s="46" t="n"/>
      <c r="B28" s="47" t="n"/>
      <c r="C28" s="32" t="inlineStr">
        <is>
          <t>Identificação das dificuldades e meios de as superar</t>
        </is>
      </c>
      <c r="D28" s="33" t="n"/>
      <c r="E28" s="33" t="n"/>
      <c r="F28" s="33" t="n"/>
      <c r="G28" s="33" t="n"/>
      <c r="H28" s="33" t="n"/>
      <c r="I28" s="31" t="n"/>
      <c r="J28" s="53" t="n"/>
      <c r="K28" s="54" t="n"/>
    </row>
    <row r="29" ht="12.75" customHeight="1" s="90">
      <c r="A29" s="46" t="n"/>
      <c r="B29" s="47" t="n"/>
      <c r="C29" s="32" t="inlineStr">
        <is>
          <t>Capacidade de análise crítica</t>
        </is>
      </c>
      <c r="D29" s="33" t="n"/>
      <c r="E29" s="33" t="n"/>
      <c r="F29" s="33" t="n"/>
      <c r="G29" s="33" t="n"/>
      <c r="H29" s="33" t="n"/>
      <c r="I29" s="31" t="n"/>
      <c r="J29" s="53" t="n"/>
      <c r="K29" s="54" t="n"/>
    </row>
    <row r="30" ht="12.75" customHeight="1" s="90">
      <c r="A30" s="48" t="n"/>
      <c r="B30" s="49" t="n"/>
      <c r="C30" s="32" t="inlineStr">
        <is>
          <t>Sentido de responsabilidade e gestão do tempo</t>
        </is>
      </c>
      <c r="D30" s="33" t="n"/>
      <c r="E30" s="33" t="n"/>
      <c r="F30" s="33" t="n"/>
      <c r="G30" s="33" t="n"/>
      <c r="H30" s="33" t="n"/>
      <c r="I30" s="31" t="n"/>
      <c r="J30" s="55" t="n"/>
      <c r="K30" s="56" t="n"/>
    </row>
    <row r="31" ht="7.5" customHeight="1" s="90">
      <c r="A31" s="4" t="n"/>
    </row>
    <row r="32" ht="15" customHeight="1" s="90">
      <c r="A32" s="40" t="inlineStr">
        <is>
          <t>C – Apresentação e Defesa do Projecto</t>
        </is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1" t="n"/>
    </row>
    <row r="33" ht="15" customHeight="1" s="90">
      <c r="A33" s="36" t="inlineStr">
        <is>
          <t>Cotação máxima</t>
        </is>
      </c>
      <c r="B33" s="31" t="n"/>
      <c r="C33" s="36" t="inlineStr">
        <is>
          <t>Itens avaliados</t>
        </is>
      </c>
      <c r="D33" s="33" t="n"/>
      <c r="E33" s="33" t="n"/>
      <c r="F33" s="33" t="n"/>
      <c r="G33" s="33" t="n"/>
      <c r="H33" s="33" t="n"/>
      <c r="I33" s="31" t="n"/>
      <c r="J33" s="36" t="inlineStr">
        <is>
          <t>Cotação atribuída</t>
        </is>
      </c>
      <c r="K33" s="31" t="n"/>
    </row>
    <row r="34" ht="12.75" customHeight="1" s="90">
      <c r="A34" s="36" t="n">
        <v>60</v>
      </c>
      <c r="B34" s="45" t="n"/>
      <c r="C34" s="32" t="inlineStr">
        <is>
          <t xml:space="preserve">Capacidade de expressão oral e de expressão corporal </t>
        </is>
      </c>
      <c r="D34" s="33" t="n"/>
      <c r="E34" s="33" t="n"/>
      <c r="F34" s="33" t="n"/>
      <c r="G34" s="33" t="n"/>
      <c r="H34" s="33" t="n"/>
      <c r="I34" s="31" t="n"/>
      <c r="J34" s="51">
        <f>'Avaliação'!X35*3</f>
        <v/>
      </c>
      <c r="K34" s="52" t="n"/>
    </row>
    <row r="35" ht="12.75" customHeight="1" s="90">
      <c r="A35" s="46" t="n"/>
      <c r="B35" s="47" t="n"/>
      <c r="C35" s="32" t="inlineStr">
        <is>
          <t>Capacidade de síntese</t>
        </is>
      </c>
      <c r="D35" s="33" t="n"/>
      <c r="E35" s="33" t="n"/>
      <c r="F35" s="33" t="n"/>
      <c r="G35" s="33" t="n"/>
      <c r="H35" s="33" t="n"/>
      <c r="I35" s="31" t="n"/>
      <c r="J35" s="53" t="n"/>
      <c r="K35" s="54" t="n"/>
    </row>
    <row r="36" ht="12.75" customHeight="1" s="90">
      <c r="A36" s="46" t="n"/>
      <c r="B36" s="47" t="n"/>
      <c r="C36" s="32" t="inlineStr">
        <is>
          <t>Qualidade dos recursos/estratégias utilizadas na apresentação</t>
        </is>
      </c>
      <c r="D36" s="33" t="n"/>
      <c r="E36" s="33" t="n"/>
      <c r="F36" s="33" t="n"/>
      <c r="G36" s="33" t="n"/>
      <c r="H36" s="33" t="n"/>
      <c r="I36" s="31" t="n"/>
      <c r="J36" s="53" t="n"/>
      <c r="K36" s="54" t="n"/>
      <c r="M36" s="10" t="n"/>
    </row>
    <row r="37" ht="12.75" customHeight="1" s="90">
      <c r="A37" s="48" t="n"/>
      <c r="B37" s="49" t="n"/>
      <c r="C37" s="32" t="inlineStr">
        <is>
          <t>Qualidade de argumentação na defesa do projeto</t>
        </is>
      </c>
      <c r="D37" s="33" t="n"/>
      <c r="E37" s="33" t="n"/>
      <c r="F37" s="33" t="n"/>
      <c r="G37" s="33" t="n"/>
      <c r="H37" s="33" t="n"/>
      <c r="I37" s="31" t="n"/>
      <c r="J37" s="55" t="n"/>
      <c r="K37" s="56" t="n"/>
    </row>
    <row r="38" ht="7.5" customHeight="1" s="90">
      <c r="A38" s="6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 ht="19.5" customHeight="1" s="90">
      <c r="A39" s="39">
        <f>SUM(A16,A26,A34)</f>
        <v/>
      </c>
      <c r="B39" s="31" t="n"/>
      <c r="C39" s="39" t="inlineStr">
        <is>
          <t>Avaliação Final</t>
        </is>
      </c>
      <c r="D39" s="33" t="n"/>
      <c r="E39" s="33" t="n"/>
      <c r="F39" s="33" t="n"/>
      <c r="G39" s="33" t="n"/>
      <c r="H39" s="33" t="n"/>
      <c r="I39" s="31" t="n"/>
      <c r="J39" s="30">
        <f>ROUND(SUM(J16,J26,J34),0)</f>
        <v/>
      </c>
      <c r="K39" s="31" t="n"/>
    </row>
    <row r="40" ht="7.5" customHeight="1" s="90">
      <c r="A40" s="4" t="n"/>
    </row>
    <row r="41" ht="12.75" customHeight="1" s="90">
      <c r="A41" s="40" t="inlineStr">
        <is>
          <t>Observações:</t>
        </is>
      </c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1" t="n"/>
    </row>
    <row r="42" ht="12.75" customHeight="1" s="90">
      <c r="A42" s="58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2" t="n"/>
    </row>
    <row r="43" ht="12.75" customHeight="1" s="90">
      <c r="A43" s="53" t="n"/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54" t="n"/>
    </row>
    <row r="44" ht="12.75" customHeight="1" s="90">
      <c r="A44" s="53" t="n"/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54" t="n"/>
    </row>
    <row r="45" ht="12.75" customHeight="1" s="90">
      <c r="A45" s="53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54" t="n"/>
    </row>
    <row r="46" ht="12.75" customHeight="1" s="90">
      <c r="A46" s="55" t="n"/>
      <c r="B46" s="60" t="n"/>
      <c r="C46" s="60" t="n"/>
      <c r="D46" s="60" t="n"/>
      <c r="E46" s="60" t="n"/>
      <c r="F46" s="60" t="n"/>
      <c r="G46" s="60" t="n"/>
      <c r="H46" s="60" t="n"/>
      <c r="I46" s="60" t="n"/>
      <c r="J46" s="60" t="n"/>
      <c r="K46" s="56" t="n"/>
    </row>
    <row r="47" ht="7.5" customHeight="1" s="90">
      <c r="A47" s="5" t="n"/>
    </row>
    <row r="48" ht="12.75" customHeight="1" s="90">
      <c r="B48" s="5" t="n"/>
      <c r="C48" s="44" t="inlineStr">
        <is>
          <t xml:space="preserve">Caldas da Rainha, </t>
        </is>
      </c>
      <c r="F48" s="5" t="n"/>
      <c r="G48" s="61">
        <f>NOW()</f>
        <v/>
      </c>
      <c r="J48" s="5" t="n"/>
      <c r="K48" s="5" t="n"/>
    </row>
    <row r="49" ht="7.5" customHeight="1" s="90">
      <c r="A49" s="5" t="n"/>
    </row>
    <row r="50" ht="12.75" customHeight="1" s="90">
      <c r="A50" s="5" t="n"/>
      <c r="E50" s="50" t="inlineStr">
        <is>
          <t>O Júri da Prova</t>
        </is>
      </c>
    </row>
    <row r="51" ht="7.5" customHeight="1" s="90">
      <c r="A51" s="5" t="n"/>
    </row>
    <row r="52" ht="12.75" customHeight="1" s="90">
      <c r="A52" s="35" t="inlineStr">
        <is>
          <t>Qualidade em que está nomeado</t>
        </is>
      </c>
      <c r="B52" s="33" t="n"/>
      <c r="C52" s="33" t="n"/>
      <c r="D52" s="33" t="n"/>
      <c r="E52" s="31" t="n"/>
      <c r="G52" s="35" t="inlineStr">
        <is>
          <t>Assinatura</t>
        </is>
      </c>
      <c r="H52" s="33" t="n"/>
      <c r="I52" s="33" t="n"/>
      <c r="J52" s="33" t="n"/>
      <c r="K52" s="31" t="n"/>
    </row>
    <row r="53" ht="22.5" customHeight="1" s="90">
      <c r="A53" s="32" t="inlineStr">
        <is>
          <t>Presidente do Júri</t>
        </is>
      </c>
      <c r="B53" s="33" t="n"/>
      <c r="C53" s="33" t="n"/>
      <c r="D53" s="33" t="n"/>
      <c r="E53" s="31" t="n"/>
      <c r="G53" s="34" t="n"/>
      <c r="H53" s="33" t="n"/>
      <c r="I53" s="33" t="n"/>
      <c r="J53" s="33" t="n"/>
      <c r="K53" s="31" t="n"/>
    </row>
    <row r="54" ht="22.5" customHeight="1" s="90">
      <c r="A54" s="32" t="inlineStr">
        <is>
          <t>Professor Orientador do Projeto</t>
        </is>
      </c>
      <c r="B54" s="33" t="n"/>
      <c r="C54" s="33" t="n"/>
      <c r="D54" s="33" t="n"/>
      <c r="E54" s="31" t="n"/>
      <c r="G54" s="34" t="n"/>
      <c r="H54" s="33" t="n"/>
      <c r="I54" s="33" t="n"/>
      <c r="J54" s="33" t="n"/>
      <c r="K54" s="31" t="n"/>
    </row>
    <row r="55" ht="22.5" customHeight="1" s="90">
      <c r="A55" s="32" t="inlineStr">
        <is>
          <t>Representante das Associações Empresariais</t>
        </is>
      </c>
      <c r="B55" s="33" t="n"/>
      <c r="C55" s="33" t="n"/>
      <c r="D55" s="33" t="n"/>
      <c r="E55" s="31" t="n"/>
      <c r="G55" s="34" t="n"/>
      <c r="H55" s="33" t="n"/>
      <c r="I55" s="33" t="n"/>
      <c r="J55" s="33" t="n"/>
      <c r="K55" s="31" t="n"/>
    </row>
    <row r="56" ht="22.5" customHeight="1" s="90">
      <c r="A56" s="32" t="inlineStr">
        <is>
          <t>Personalidade de reconhecido mérito</t>
        </is>
      </c>
      <c r="B56" s="33" t="n"/>
      <c r="C56" s="33" t="n"/>
      <c r="D56" s="33" t="n"/>
      <c r="E56" s="31" t="n"/>
      <c r="G56" s="34" t="n"/>
      <c r="H56" s="33" t="n"/>
      <c r="I56" s="33" t="n"/>
      <c r="J56" s="33" t="n"/>
      <c r="K56" s="31" t="n"/>
    </row>
  </sheetData>
  <mergeCells count="60">
    <mergeCell ref="J39:K39"/>
    <mergeCell ref="C36:I36"/>
    <mergeCell ref="G56:K56"/>
    <mergeCell ref="G52:K52"/>
    <mergeCell ref="A15:B15"/>
    <mergeCell ref="D9:J9"/>
    <mergeCell ref="C17:I17"/>
    <mergeCell ref="C39:I39"/>
    <mergeCell ref="D8:J8"/>
    <mergeCell ref="A24:K24"/>
    <mergeCell ref="A12:C12"/>
    <mergeCell ref="C19:I19"/>
    <mergeCell ref="C37:I37"/>
    <mergeCell ref="A6:K6"/>
    <mergeCell ref="C28:I28"/>
    <mergeCell ref="C18:I18"/>
    <mergeCell ref="A25:B25"/>
    <mergeCell ref="A54:E54"/>
    <mergeCell ref="A8:C8"/>
    <mergeCell ref="J15:K15"/>
    <mergeCell ref="A41:K41"/>
    <mergeCell ref="C34:I34"/>
    <mergeCell ref="C48:E48"/>
    <mergeCell ref="C30:I30"/>
    <mergeCell ref="G53:K53"/>
    <mergeCell ref="C15:I15"/>
    <mergeCell ref="C33:I33"/>
    <mergeCell ref="A56:E56"/>
    <mergeCell ref="A10:C10"/>
    <mergeCell ref="A55:E55"/>
    <mergeCell ref="A34:B37"/>
    <mergeCell ref="C26:I26"/>
    <mergeCell ref="A33:B33"/>
    <mergeCell ref="C35:I35"/>
    <mergeCell ref="J25:K25"/>
    <mergeCell ref="C20:I20"/>
    <mergeCell ref="E50:G50"/>
    <mergeCell ref="C29:I29"/>
    <mergeCell ref="C16:I16"/>
    <mergeCell ref="A32:K32"/>
    <mergeCell ref="A14:K14"/>
    <mergeCell ref="J26:K30"/>
    <mergeCell ref="C25:I25"/>
    <mergeCell ref="G55:K55"/>
    <mergeCell ref="A16:B22"/>
    <mergeCell ref="A53:E53"/>
    <mergeCell ref="C22:I22"/>
    <mergeCell ref="A11:C11"/>
    <mergeCell ref="A4:K4"/>
    <mergeCell ref="A52:E52"/>
    <mergeCell ref="J16:K22"/>
    <mergeCell ref="C21:I21"/>
    <mergeCell ref="J34:K37"/>
    <mergeCell ref="A26:B30"/>
    <mergeCell ref="A42:K46"/>
    <mergeCell ref="J33:K33"/>
    <mergeCell ref="G54:K54"/>
    <mergeCell ref="G48:I48"/>
    <mergeCell ref="C27:I27"/>
    <mergeCell ref="A39:B39"/>
  </mergeCells>
  <conditionalFormatting sqref="J16:K22 J34:K37">
    <cfRule type="cellIs" priority="1" operator="greaterThan" dxfId="0" stopIfTrue="1">
      <formula>$A$16</formula>
    </cfRule>
  </conditionalFormatting>
  <conditionalFormatting sqref="J26:K30">
    <cfRule type="cellIs" priority="2" operator="greaterThan" dxfId="0" stopIfTrue="1">
      <formula>$A$26</formula>
    </cfRule>
  </conditionalFormatting>
  <conditionalFormatting sqref="J39:K39">
    <cfRule type="cellIs" priority="3" operator="greaterThan" dxfId="0" stopIfTrue="1">
      <formula>200</formula>
    </cfRule>
  </conditionalFormatting>
  <dataValidations count="3">
    <dataValidation sqref="D10" showDropDown="0" showInputMessage="0" showErrorMessage="0" allowBlank="1" errorTitle="Valor inválido" error="Seleccione um valor da lista." type="list">
      <formula1>='Auxiliar'!$B$6:$B$8</formula1>
    </dataValidation>
    <dataValidation sqref="D12" showDropDown="0" showInputMessage="0" showErrorMessage="0" allowBlank="1" errorTitle="Valor inválido" error="Seleccione um valor da lista." type="list">
      <formula1>='Auxiliar'!$D$6:$D$8</formula1>
    </dataValidation>
    <dataValidation sqref="D11" showDropDown="0" showInputMessage="0" showErrorMessage="0" allowBlank="1" errorTitle="Valor inválido" error="Seleccione um valor da lista." type="list">
      <formula1>='Auxiliar'!$B$16:$B$18</formula1>
    </dataValidation>
  </dataValidations>
  <printOptions horizontalCentered="1"/>
  <pageMargins left="0.984251968503937" right="0.5905511811023623" top="0.5905511811023623" bottom="0.5905511811023623" header="0" footer="0"/>
  <pageSetup orientation="portrait" paperSize="9" scale="9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2:M56"/>
  <sheetViews>
    <sheetView zoomScale="150" workbookViewId="0">
      <selection activeCell="B57" sqref="B57"/>
    </sheetView>
  </sheetViews>
  <sheetFormatPr baseColWidth="8" defaultColWidth="9.140625" defaultRowHeight="12.75" customHeight="1"/>
  <cols>
    <col width="8.5703125" customWidth="1" style="42" min="1" max="5"/>
    <col width="2" customWidth="1" style="42" min="6" max="6"/>
    <col width="8.5703125" customWidth="1" style="42" min="7" max="11"/>
    <col width="9.140625" customWidth="1" style="42" min="12" max="16"/>
    <col width="9.140625" customWidth="1" style="42" min="17" max="16384"/>
  </cols>
  <sheetData>
    <row r="2" ht="16.9" customHeight="1" s="90">
      <c r="B2" s="9" t="n"/>
      <c r="C2" s="9" t="n"/>
      <c r="D2" s="9" t="inlineStr">
        <is>
          <t>Agrupamento de Escolas Raul Proença</t>
        </is>
      </c>
      <c r="E2" s="9" t="n"/>
      <c r="F2" s="9" t="n"/>
      <c r="G2" s="9" t="n"/>
      <c r="H2" s="9" t="n"/>
      <c r="I2" s="9" t="n"/>
      <c r="J2" s="9" t="n"/>
      <c r="K2" s="9" t="n"/>
    </row>
    <row r="4" ht="15" customHeight="1" s="90">
      <c r="A4" s="57" t="inlineStr">
        <is>
          <t>Ano letivo 2025/2026</t>
        </is>
      </c>
    </row>
    <row r="5" ht="7.5" customHeight="1" s="90">
      <c r="A5" s="2" t="n"/>
    </row>
    <row r="6" ht="15" customHeight="1" s="90">
      <c r="A6" s="43" t="inlineStr">
        <is>
          <t>Ata de Avaliação da Prova de Aptidão Profissional</t>
        </is>
      </c>
    </row>
    <row r="7" ht="12.75" customHeight="1" s="90">
      <c r="A7" s="3" t="n"/>
    </row>
    <row r="8" ht="12.75" customHeight="1" s="90">
      <c r="A8" s="41" t="inlineStr">
        <is>
          <t>Aluno:</t>
        </is>
      </c>
      <c r="D8" s="96" t="inlineStr">
        <is>
          <t>Rui Pedro de Sousa Zina</t>
        </is>
      </c>
      <c r="E8" s="38" t="n"/>
      <c r="F8" s="38" t="n"/>
      <c r="G8" s="38" t="n"/>
      <c r="H8" s="38" t="n"/>
      <c r="I8" s="38" t="n"/>
      <c r="J8" s="38" t="n"/>
      <c r="K8" s="7" t="n"/>
    </row>
    <row r="9" ht="12.75" customHeight="1" s="90">
      <c r="A9" s="41" t="n"/>
      <c r="B9" s="41" t="n"/>
      <c r="C9" s="41" t="inlineStr">
        <is>
          <t>Tema:</t>
        </is>
      </c>
      <c r="D9" s="96" t="inlineStr">
        <is>
          <t>Trypia - Plataforma de Pesquisa e Reserva de Viagens, Hotéis e Experiências</t>
        </is>
      </c>
      <c r="E9" s="38" t="n"/>
      <c r="F9" s="38" t="n"/>
      <c r="G9" s="38" t="n"/>
      <c r="H9" s="38" t="n"/>
      <c r="I9" s="38" t="n"/>
      <c r="J9" s="38" t="n"/>
      <c r="K9" s="7" t="n"/>
    </row>
    <row r="10" ht="18" customHeight="1" s="90">
      <c r="A10" s="41" t="inlineStr">
        <is>
          <t>Área de Formação:</t>
        </is>
      </c>
      <c r="D10" s="95" t="inlineStr">
        <is>
          <t>Ciências Informáticas (481)</t>
        </is>
      </c>
      <c r="E10" s="95" t="n"/>
      <c r="F10" s="95" t="n"/>
      <c r="G10" s="95" t="n"/>
      <c r="H10" s="95" t="n"/>
      <c r="I10" s="95" t="n"/>
      <c r="J10" s="95" t="n"/>
      <c r="K10" s="7" t="n"/>
    </row>
    <row r="11" ht="18.75" customHeight="1" s="90">
      <c r="A11" s="41" t="inlineStr">
        <is>
          <t>Curso Profissional:</t>
        </is>
      </c>
      <c r="D11" s="95" t="inlineStr">
        <is>
          <t>Técnico de Gestão e Programação de Sistemas Informáticos</t>
        </is>
      </c>
      <c r="E11" s="95" t="n"/>
      <c r="F11" s="95" t="n"/>
      <c r="G11" s="95" t="n"/>
      <c r="H11" s="95" t="n"/>
      <c r="I11" s="95" t="n"/>
      <c r="J11" s="95" t="n"/>
      <c r="K11" s="7" t="n"/>
    </row>
    <row r="12" ht="18" customHeight="1" s="90">
      <c r="A12" s="41" t="inlineStr">
        <is>
          <t>Saída Profissional:</t>
        </is>
      </c>
      <c r="D12" s="95" t="inlineStr">
        <is>
          <t>Técnico de Gestão e Programação de Sistemas Informáticos</t>
        </is>
      </c>
      <c r="E12" s="95" t="n"/>
      <c r="F12" s="95" t="n"/>
      <c r="G12" s="95" t="n"/>
      <c r="H12" s="95" t="n"/>
      <c r="I12" s="95" t="n"/>
      <c r="J12" s="95" t="n"/>
      <c r="K12" s="7" t="n"/>
    </row>
    <row r="13" ht="7.5" customHeight="1" s="90">
      <c r="A13" s="3" t="n"/>
    </row>
    <row r="14" ht="15" customHeight="1" s="90">
      <c r="A14" s="40" t="inlineStr">
        <is>
          <t>A – Desenvolvimento do Projeto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1" t="n"/>
    </row>
    <row r="15" ht="15" customHeight="1" s="90">
      <c r="A15" s="36" t="inlineStr">
        <is>
          <t>Cotação máxima</t>
        </is>
      </c>
      <c r="B15" s="31" t="n"/>
      <c r="C15" s="36" t="inlineStr">
        <is>
          <t>Itens avaliados</t>
        </is>
      </c>
      <c r="D15" s="33" t="n"/>
      <c r="E15" s="33" t="n"/>
      <c r="F15" s="33" t="n"/>
      <c r="G15" s="33" t="n"/>
      <c r="H15" s="33" t="n"/>
      <c r="I15" s="31" t="n"/>
      <c r="J15" s="36" t="inlineStr">
        <is>
          <t>Cotação atribuída</t>
        </is>
      </c>
      <c r="K15" s="31" t="n"/>
    </row>
    <row r="16" ht="12.75" customHeight="1" s="90">
      <c r="A16" s="36" t="n">
        <v>100</v>
      </c>
      <c r="B16" s="45" t="n"/>
      <c r="C16" s="32" t="inlineStr">
        <is>
          <t>Definição dos objectivos do projeto</t>
        </is>
      </c>
      <c r="D16" s="33" t="n"/>
      <c r="E16" s="33" t="n"/>
      <c r="F16" s="33" t="n"/>
      <c r="G16" s="33" t="n"/>
      <c r="H16" s="33" t="n"/>
      <c r="I16" s="31" t="n"/>
      <c r="J16" s="51">
        <f>'Avaliação'!Y22*5</f>
        <v/>
      </c>
      <c r="K16" s="52" t="n"/>
    </row>
    <row r="17" ht="12.75" customHeight="1" s="90">
      <c r="A17" s="46" t="n"/>
      <c r="B17" s="47" t="n"/>
      <c r="C17" s="32" t="inlineStr">
        <is>
          <t>Qualidade científica e técnica</t>
        </is>
      </c>
      <c r="D17" s="33" t="n"/>
      <c r="E17" s="33" t="n"/>
      <c r="F17" s="33" t="n"/>
      <c r="G17" s="33" t="n"/>
      <c r="H17" s="33" t="n"/>
      <c r="I17" s="31" t="n"/>
      <c r="J17" s="53" t="n"/>
      <c r="K17" s="54" t="n"/>
    </row>
    <row r="18" ht="12.75" customHeight="1" s="90">
      <c r="A18" s="46" t="n"/>
      <c r="B18" s="47" t="n"/>
      <c r="C18" s="32" t="inlineStr">
        <is>
          <t>Pertinência, criatividade e inovação</t>
        </is>
      </c>
      <c r="D18" s="33" t="n"/>
      <c r="E18" s="33" t="n"/>
      <c r="F18" s="33" t="n"/>
      <c r="G18" s="33" t="n"/>
      <c r="H18" s="33" t="n"/>
      <c r="I18" s="31" t="n"/>
      <c r="J18" s="53" t="n"/>
      <c r="K18" s="54" t="n"/>
      <c r="M18" s="10" t="n"/>
    </row>
    <row r="19" ht="12.75" customHeight="1" s="90">
      <c r="A19" s="46" t="n"/>
      <c r="B19" s="47" t="n"/>
      <c r="C19" s="32" t="inlineStr">
        <is>
          <t>Planeamento dos recursos necessários</t>
        </is>
      </c>
      <c r="D19" s="33" t="n"/>
      <c r="E19" s="33" t="n"/>
      <c r="F19" s="33" t="n"/>
      <c r="G19" s="33" t="n"/>
      <c r="H19" s="33" t="n"/>
      <c r="I19" s="31" t="n"/>
      <c r="J19" s="53" t="n"/>
      <c r="K19" s="54" t="n"/>
    </row>
    <row r="20" ht="12.75" customHeight="1" s="90">
      <c r="A20" s="46" t="n"/>
      <c r="B20" s="47" t="n"/>
      <c r="C20" s="32" t="inlineStr">
        <is>
          <t>Definição das fases de execução do projeto</t>
        </is>
      </c>
      <c r="D20" s="33" t="n"/>
      <c r="E20" s="33" t="n"/>
      <c r="F20" s="33" t="n"/>
      <c r="G20" s="33" t="n"/>
      <c r="H20" s="33" t="n"/>
      <c r="I20" s="31" t="n"/>
      <c r="J20" s="53" t="n"/>
      <c r="K20" s="54" t="n"/>
    </row>
    <row r="21" ht="12.75" customHeight="1" s="90">
      <c r="A21" s="46" t="n"/>
      <c r="B21" s="47" t="n"/>
      <c r="C21" s="32" t="inlineStr">
        <is>
          <t>Autonomia</t>
        </is>
      </c>
      <c r="D21" s="33" t="n"/>
      <c r="E21" s="33" t="n"/>
      <c r="F21" s="33" t="n"/>
      <c r="G21" s="33" t="n"/>
      <c r="H21" s="33" t="n"/>
      <c r="I21" s="31" t="n"/>
      <c r="J21" s="53" t="n"/>
      <c r="K21" s="54" t="n"/>
    </row>
    <row r="22" ht="12.75" customHeight="1" s="90">
      <c r="A22" s="48" t="n"/>
      <c r="B22" s="49" t="n"/>
      <c r="C22" s="32" t="inlineStr">
        <is>
          <t>Sentido de responsabilidade e gestão do tempo</t>
        </is>
      </c>
      <c r="D22" s="33" t="n"/>
      <c r="E22" s="33" t="n"/>
      <c r="F22" s="33" t="n"/>
      <c r="G22" s="33" t="n"/>
      <c r="H22" s="33" t="n"/>
      <c r="I22" s="31" t="n"/>
      <c r="J22" s="55" t="n"/>
      <c r="K22" s="56" t="n"/>
    </row>
    <row r="23" ht="7.5" customHeight="1" s="90">
      <c r="A23" s="4" t="n"/>
    </row>
    <row r="24" ht="15" customHeight="1" s="90">
      <c r="A24" s="40" t="inlineStr">
        <is>
          <t>B – Relatório final</t>
        </is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1" t="n"/>
    </row>
    <row r="25" ht="15" customHeight="1" s="90">
      <c r="A25" s="36" t="inlineStr">
        <is>
          <t>Cotação máxima</t>
        </is>
      </c>
      <c r="B25" s="31" t="n"/>
      <c r="C25" s="36" t="inlineStr">
        <is>
          <t>Itens avaliados</t>
        </is>
      </c>
      <c r="D25" s="33" t="n"/>
      <c r="E25" s="33" t="n"/>
      <c r="F25" s="33" t="n"/>
      <c r="G25" s="33" t="n"/>
      <c r="H25" s="33" t="n"/>
      <c r="I25" s="31" t="n"/>
      <c r="J25" s="36" t="inlineStr">
        <is>
          <t>Cotação atribuída</t>
        </is>
      </c>
      <c r="K25" s="31" t="n"/>
    </row>
    <row r="26" ht="12.75" customHeight="1" s="90">
      <c r="A26" s="36" t="n">
        <v>40</v>
      </c>
      <c r="B26" s="45" t="n"/>
      <c r="C26" s="32" t="inlineStr">
        <is>
          <t>Objetividade</t>
        </is>
      </c>
      <c r="D26" s="33" t="n"/>
      <c r="E26" s="33" t="n"/>
      <c r="F26" s="33" t="n"/>
      <c r="G26" s="33" t="n"/>
      <c r="H26" s="33" t="n"/>
      <c r="I26" s="31" t="n"/>
      <c r="J26" s="51">
        <f>'Avaliação'!Y29*2</f>
        <v/>
      </c>
      <c r="K26" s="52" t="n"/>
    </row>
    <row r="27" ht="12.75" customHeight="1" s="90">
      <c r="A27" s="46" t="n"/>
      <c r="B27" s="47" t="n"/>
      <c r="C27" s="32" t="inlineStr">
        <is>
          <t>Pertinência das informações</t>
        </is>
      </c>
      <c r="D27" s="33" t="n"/>
      <c r="E27" s="33" t="n"/>
      <c r="F27" s="33" t="n"/>
      <c r="G27" s="33" t="n"/>
      <c r="H27" s="33" t="n"/>
      <c r="I27" s="31" t="n"/>
      <c r="J27" s="53" t="n"/>
      <c r="K27" s="54" t="n"/>
      <c r="M27" s="10" t="n"/>
    </row>
    <row r="28" ht="12.75" customHeight="1" s="90">
      <c r="A28" s="46" t="n"/>
      <c r="B28" s="47" t="n"/>
      <c r="C28" s="32" t="inlineStr">
        <is>
          <t>Identificação das dificuldades e meios de as superar</t>
        </is>
      </c>
      <c r="D28" s="33" t="n"/>
      <c r="E28" s="33" t="n"/>
      <c r="F28" s="33" t="n"/>
      <c r="G28" s="33" t="n"/>
      <c r="H28" s="33" t="n"/>
      <c r="I28" s="31" t="n"/>
      <c r="J28" s="53" t="n"/>
      <c r="K28" s="54" t="n"/>
    </row>
    <row r="29" ht="12.75" customHeight="1" s="90">
      <c r="A29" s="46" t="n"/>
      <c r="B29" s="47" t="n"/>
      <c r="C29" s="32" t="inlineStr">
        <is>
          <t>Capacidade de análise crítica</t>
        </is>
      </c>
      <c r="D29" s="33" t="n"/>
      <c r="E29" s="33" t="n"/>
      <c r="F29" s="33" t="n"/>
      <c r="G29" s="33" t="n"/>
      <c r="H29" s="33" t="n"/>
      <c r="I29" s="31" t="n"/>
      <c r="J29" s="53" t="n"/>
      <c r="K29" s="54" t="n"/>
    </row>
    <row r="30" ht="12.75" customHeight="1" s="90">
      <c r="A30" s="48" t="n"/>
      <c r="B30" s="49" t="n"/>
      <c r="C30" s="32" t="inlineStr">
        <is>
          <t>Sentido de responsabilidade e gestão do tempo</t>
        </is>
      </c>
      <c r="D30" s="33" t="n"/>
      <c r="E30" s="33" t="n"/>
      <c r="F30" s="33" t="n"/>
      <c r="G30" s="33" t="n"/>
      <c r="H30" s="33" t="n"/>
      <c r="I30" s="31" t="n"/>
      <c r="J30" s="55" t="n"/>
      <c r="K30" s="56" t="n"/>
    </row>
    <row r="31" ht="7.5" customHeight="1" s="90">
      <c r="A31" s="4" t="n"/>
    </row>
    <row r="32" ht="15" customHeight="1" s="90">
      <c r="A32" s="40" t="inlineStr">
        <is>
          <t>C – Apresentação e Defesa do Projecto</t>
        </is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1" t="n"/>
    </row>
    <row r="33" ht="15" customHeight="1" s="90">
      <c r="A33" s="36" t="inlineStr">
        <is>
          <t>Cotação máxima</t>
        </is>
      </c>
      <c r="B33" s="31" t="n"/>
      <c r="C33" s="36" t="inlineStr">
        <is>
          <t>Itens avaliados</t>
        </is>
      </c>
      <c r="D33" s="33" t="n"/>
      <c r="E33" s="33" t="n"/>
      <c r="F33" s="33" t="n"/>
      <c r="G33" s="33" t="n"/>
      <c r="H33" s="33" t="n"/>
      <c r="I33" s="31" t="n"/>
      <c r="J33" s="36" t="inlineStr">
        <is>
          <t>Cotação atribuída</t>
        </is>
      </c>
      <c r="K33" s="31" t="n"/>
    </row>
    <row r="34" ht="12.75" customHeight="1" s="90">
      <c r="A34" s="36" t="n">
        <v>60</v>
      </c>
      <c r="B34" s="45" t="n"/>
      <c r="C34" s="32" t="inlineStr">
        <is>
          <t xml:space="preserve">Capacidade de expressão oral e de expressão corporal </t>
        </is>
      </c>
      <c r="D34" s="33" t="n"/>
      <c r="E34" s="33" t="n"/>
      <c r="F34" s="33" t="n"/>
      <c r="G34" s="33" t="n"/>
      <c r="H34" s="33" t="n"/>
      <c r="I34" s="31" t="n"/>
      <c r="J34" s="51">
        <f>'Avaliação'!Y35*3</f>
        <v/>
      </c>
      <c r="K34" s="52" t="n"/>
    </row>
    <row r="35" ht="12.75" customHeight="1" s="90">
      <c r="A35" s="46" t="n"/>
      <c r="B35" s="47" t="n"/>
      <c r="C35" s="32" t="inlineStr">
        <is>
          <t>Capacidade de síntese</t>
        </is>
      </c>
      <c r="D35" s="33" t="n"/>
      <c r="E35" s="33" t="n"/>
      <c r="F35" s="33" t="n"/>
      <c r="G35" s="33" t="n"/>
      <c r="H35" s="33" t="n"/>
      <c r="I35" s="31" t="n"/>
      <c r="J35" s="53" t="n"/>
      <c r="K35" s="54" t="n"/>
    </row>
    <row r="36" ht="12.75" customHeight="1" s="90">
      <c r="A36" s="46" t="n"/>
      <c r="B36" s="47" t="n"/>
      <c r="C36" s="32" t="inlineStr">
        <is>
          <t>Qualidade dos recursos/estratégias utilizadas na apresentação</t>
        </is>
      </c>
      <c r="D36" s="33" t="n"/>
      <c r="E36" s="33" t="n"/>
      <c r="F36" s="33" t="n"/>
      <c r="G36" s="33" t="n"/>
      <c r="H36" s="33" t="n"/>
      <c r="I36" s="31" t="n"/>
      <c r="J36" s="53" t="n"/>
      <c r="K36" s="54" t="n"/>
      <c r="M36" s="10" t="n"/>
    </row>
    <row r="37" ht="12.75" customHeight="1" s="90">
      <c r="A37" s="48" t="n"/>
      <c r="B37" s="49" t="n"/>
      <c r="C37" s="32" t="inlineStr">
        <is>
          <t>Qualidade de argumentação na defesa do projeto</t>
        </is>
      </c>
      <c r="D37" s="33" t="n"/>
      <c r="E37" s="33" t="n"/>
      <c r="F37" s="33" t="n"/>
      <c r="G37" s="33" t="n"/>
      <c r="H37" s="33" t="n"/>
      <c r="I37" s="31" t="n"/>
      <c r="J37" s="55" t="n"/>
      <c r="K37" s="56" t="n"/>
    </row>
    <row r="38" ht="7.5" customHeight="1" s="90">
      <c r="A38" s="6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 ht="19.5" customHeight="1" s="90">
      <c r="A39" s="39">
        <f>SUM(A16,A26,A34)</f>
        <v/>
      </c>
      <c r="B39" s="31" t="n"/>
      <c r="C39" s="39" t="inlineStr">
        <is>
          <t>Avaliação Final</t>
        </is>
      </c>
      <c r="D39" s="33" t="n"/>
      <c r="E39" s="33" t="n"/>
      <c r="F39" s="33" t="n"/>
      <c r="G39" s="33" t="n"/>
      <c r="H39" s="33" t="n"/>
      <c r="I39" s="31" t="n"/>
      <c r="J39" s="30">
        <f>ROUND(SUM(J16,J26,J34),0)</f>
        <v/>
      </c>
      <c r="K39" s="31" t="n"/>
    </row>
    <row r="40" ht="7.5" customHeight="1" s="90">
      <c r="A40" s="4" t="n"/>
    </row>
    <row r="41" ht="12.75" customHeight="1" s="90">
      <c r="A41" s="40" t="inlineStr">
        <is>
          <t>Observações:</t>
        </is>
      </c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1" t="n"/>
    </row>
    <row r="42" ht="12.75" customHeight="1" s="90">
      <c r="A42" s="58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2" t="n"/>
    </row>
    <row r="43" ht="12.75" customHeight="1" s="90">
      <c r="A43" s="53" t="n"/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54" t="n"/>
    </row>
    <row r="44" ht="12.75" customHeight="1" s="90">
      <c r="A44" s="53" t="n"/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54" t="n"/>
    </row>
    <row r="45" ht="12.75" customHeight="1" s="90">
      <c r="A45" s="53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54" t="n"/>
    </row>
    <row r="46" ht="12.75" customHeight="1" s="90">
      <c r="A46" s="55" t="n"/>
      <c r="B46" s="60" t="n"/>
      <c r="C46" s="60" t="n"/>
      <c r="D46" s="60" t="n"/>
      <c r="E46" s="60" t="n"/>
      <c r="F46" s="60" t="n"/>
      <c r="G46" s="60" t="n"/>
      <c r="H46" s="60" t="n"/>
      <c r="I46" s="60" t="n"/>
      <c r="J46" s="60" t="n"/>
      <c r="K46" s="56" t="n"/>
    </row>
    <row r="47" ht="7.5" customHeight="1" s="90">
      <c r="A47" s="5" t="n"/>
    </row>
    <row r="48" ht="12.75" customHeight="1" s="90">
      <c r="B48" s="5" t="n"/>
      <c r="C48" s="44" t="inlineStr">
        <is>
          <t xml:space="preserve">Caldas da Rainha, </t>
        </is>
      </c>
      <c r="F48" s="5" t="n"/>
      <c r="G48" s="61">
        <f>NOW()</f>
        <v/>
      </c>
      <c r="J48" s="5" t="n"/>
      <c r="K48" s="5" t="n"/>
    </row>
    <row r="49" ht="7.5" customHeight="1" s="90">
      <c r="A49" s="5" t="n"/>
    </row>
    <row r="50" ht="12.75" customHeight="1" s="90">
      <c r="A50" s="5" t="n"/>
      <c r="E50" s="50" t="inlineStr">
        <is>
          <t>O Júri da Prova</t>
        </is>
      </c>
    </row>
    <row r="51" ht="7.5" customHeight="1" s="90">
      <c r="A51" s="5" t="n"/>
    </row>
    <row r="52" ht="12.75" customHeight="1" s="90">
      <c r="A52" s="35" t="inlineStr">
        <is>
          <t>Qualidade em que está nomeado</t>
        </is>
      </c>
      <c r="B52" s="33" t="n"/>
      <c r="C52" s="33" t="n"/>
      <c r="D52" s="33" t="n"/>
      <c r="E52" s="31" t="n"/>
      <c r="G52" s="35" t="inlineStr">
        <is>
          <t>Assinatura</t>
        </is>
      </c>
      <c r="H52" s="33" t="n"/>
      <c r="I52" s="33" t="n"/>
      <c r="J52" s="33" t="n"/>
      <c r="K52" s="31" t="n"/>
    </row>
    <row r="53" ht="22.5" customHeight="1" s="90">
      <c r="A53" s="32" t="inlineStr">
        <is>
          <t>Presidente do Júri</t>
        </is>
      </c>
      <c r="B53" s="33" t="n"/>
      <c r="C53" s="33" t="n"/>
      <c r="D53" s="33" t="n"/>
      <c r="E53" s="31" t="n"/>
      <c r="G53" s="34" t="n"/>
      <c r="H53" s="33" t="n"/>
      <c r="I53" s="33" t="n"/>
      <c r="J53" s="33" t="n"/>
      <c r="K53" s="31" t="n"/>
    </row>
    <row r="54" ht="22.5" customHeight="1" s="90">
      <c r="A54" s="32" t="inlineStr">
        <is>
          <t>Professor Orientador do Projeto</t>
        </is>
      </c>
      <c r="B54" s="33" t="n"/>
      <c r="C54" s="33" t="n"/>
      <c r="D54" s="33" t="n"/>
      <c r="E54" s="31" t="n"/>
      <c r="G54" s="34" t="n"/>
      <c r="H54" s="33" t="n"/>
      <c r="I54" s="33" t="n"/>
      <c r="J54" s="33" t="n"/>
      <c r="K54" s="31" t="n"/>
    </row>
    <row r="55" ht="22.5" customHeight="1" s="90">
      <c r="A55" s="32" t="inlineStr">
        <is>
          <t>Representante das Associações Empresariais</t>
        </is>
      </c>
      <c r="B55" s="33" t="n"/>
      <c r="C55" s="33" t="n"/>
      <c r="D55" s="33" t="n"/>
      <c r="E55" s="31" t="n"/>
      <c r="G55" s="34" t="n"/>
      <c r="H55" s="33" t="n"/>
      <c r="I55" s="33" t="n"/>
      <c r="J55" s="33" t="n"/>
      <c r="K55" s="31" t="n"/>
    </row>
    <row r="56" ht="22.5" customHeight="1" s="90">
      <c r="A56" s="32" t="inlineStr">
        <is>
          <t>Personalidade de reconhecido mérito</t>
        </is>
      </c>
      <c r="B56" s="33" t="n"/>
      <c r="C56" s="33" t="n"/>
      <c r="D56" s="33" t="n"/>
      <c r="E56" s="31" t="n"/>
      <c r="G56" s="34" t="n"/>
      <c r="H56" s="33" t="n"/>
      <c r="I56" s="33" t="n"/>
      <c r="J56" s="33" t="n"/>
      <c r="K56" s="31" t="n"/>
    </row>
  </sheetData>
  <mergeCells count="60">
    <mergeCell ref="J39:K39"/>
    <mergeCell ref="C36:I36"/>
    <mergeCell ref="G56:K56"/>
    <mergeCell ref="G52:K52"/>
    <mergeCell ref="A15:B15"/>
    <mergeCell ref="D9:J9"/>
    <mergeCell ref="C17:I17"/>
    <mergeCell ref="C39:I39"/>
    <mergeCell ref="D8:J8"/>
    <mergeCell ref="A24:K24"/>
    <mergeCell ref="A12:C12"/>
    <mergeCell ref="C19:I19"/>
    <mergeCell ref="C37:I37"/>
    <mergeCell ref="A6:K6"/>
    <mergeCell ref="C28:I28"/>
    <mergeCell ref="C18:I18"/>
    <mergeCell ref="A25:B25"/>
    <mergeCell ref="A54:E54"/>
    <mergeCell ref="A8:C8"/>
    <mergeCell ref="J15:K15"/>
    <mergeCell ref="A41:K41"/>
    <mergeCell ref="C34:I34"/>
    <mergeCell ref="C48:E48"/>
    <mergeCell ref="C30:I30"/>
    <mergeCell ref="G53:K53"/>
    <mergeCell ref="C15:I15"/>
    <mergeCell ref="C33:I33"/>
    <mergeCell ref="A56:E56"/>
    <mergeCell ref="A10:C10"/>
    <mergeCell ref="A55:E55"/>
    <mergeCell ref="A34:B37"/>
    <mergeCell ref="C26:I26"/>
    <mergeCell ref="A33:B33"/>
    <mergeCell ref="C35:I35"/>
    <mergeCell ref="J25:K25"/>
    <mergeCell ref="C20:I20"/>
    <mergeCell ref="E50:G50"/>
    <mergeCell ref="C29:I29"/>
    <mergeCell ref="C16:I16"/>
    <mergeCell ref="A32:K32"/>
    <mergeCell ref="A14:K14"/>
    <mergeCell ref="J26:K30"/>
    <mergeCell ref="C25:I25"/>
    <mergeCell ref="G55:K55"/>
    <mergeCell ref="A16:B22"/>
    <mergeCell ref="A53:E53"/>
    <mergeCell ref="C22:I22"/>
    <mergeCell ref="A11:C11"/>
    <mergeCell ref="A4:K4"/>
    <mergeCell ref="A52:E52"/>
    <mergeCell ref="J16:K22"/>
    <mergeCell ref="C21:I21"/>
    <mergeCell ref="J34:K37"/>
    <mergeCell ref="A26:B30"/>
    <mergeCell ref="A42:K46"/>
    <mergeCell ref="J33:K33"/>
    <mergeCell ref="G54:K54"/>
    <mergeCell ref="G48:I48"/>
    <mergeCell ref="C27:I27"/>
    <mergeCell ref="A39:B39"/>
  </mergeCells>
  <conditionalFormatting sqref="J16:K22 J34:K37">
    <cfRule type="cellIs" priority="1" operator="greaterThan" dxfId="0" stopIfTrue="1">
      <formula>$A$16</formula>
    </cfRule>
  </conditionalFormatting>
  <conditionalFormatting sqref="J26:K30">
    <cfRule type="cellIs" priority="2" operator="greaterThan" dxfId="0" stopIfTrue="1">
      <formula>$A$26</formula>
    </cfRule>
  </conditionalFormatting>
  <conditionalFormatting sqref="J39:K39">
    <cfRule type="cellIs" priority="3" operator="greaterThan" dxfId="0" stopIfTrue="1">
      <formula>200</formula>
    </cfRule>
  </conditionalFormatting>
  <dataValidations count="3">
    <dataValidation sqref="D10" showDropDown="0" showInputMessage="0" showErrorMessage="0" allowBlank="1" errorTitle="Valor inválido" error="Seleccione um valor da lista." type="list">
      <formula1>='Auxiliar'!$B$6:$B$8</formula1>
    </dataValidation>
    <dataValidation sqref="D12" showDropDown="0" showInputMessage="0" showErrorMessage="0" allowBlank="1" errorTitle="Valor inválido" error="Seleccione um valor da lista." type="list">
      <formula1>='Auxiliar'!$D$6:$D$8</formula1>
    </dataValidation>
    <dataValidation sqref="D11" showDropDown="0" showInputMessage="0" showErrorMessage="0" allowBlank="1" errorTitle="Valor inválido" error="Seleccione um valor da lista." type="list">
      <formula1>='Auxiliar'!$B$16:$B$18</formula1>
    </dataValidation>
  </dataValidations>
  <printOptions horizontalCentered="1"/>
  <pageMargins left="0.984251968503937" right="0.5905511811023623" top="0.5905511811023623" bottom="0.5905511811023623" header="0" footer="0"/>
  <pageSetup orientation="portrait" paperSize="9" scale="9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2:M56"/>
  <sheetViews>
    <sheetView zoomScale="150" zoomScaleNormal="150" workbookViewId="0">
      <selection activeCell="B57" sqref="B57"/>
    </sheetView>
  </sheetViews>
  <sheetFormatPr baseColWidth="8" defaultColWidth="9.140625" defaultRowHeight="12.75" customHeight="1"/>
  <cols>
    <col width="8.5703125" customWidth="1" style="42" min="1" max="5"/>
    <col width="2" customWidth="1" style="42" min="6" max="6"/>
    <col width="8.5703125" customWidth="1" style="42" min="7" max="11"/>
    <col width="9.140625" customWidth="1" style="42" min="12" max="16"/>
    <col width="9.140625" customWidth="1" style="42" min="17" max="16384"/>
  </cols>
  <sheetData>
    <row r="2" ht="16.9" customHeight="1" s="90">
      <c r="B2" s="9" t="n"/>
      <c r="C2" s="9" t="n"/>
      <c r="D2" s="9" t="inlineStr">
        <is>
          <t>Agrupamento de Escolas Raul Proença</t>
        </is>
      </c>
      <c r="E2" s="9" t="n"/>
      <c r="F2" s="9" t="n"/>
      <c r="G2" s="9" t="n"/>
      <c r="H2" s="9" t="n"/>
      <c r="I2" s="9" t="n"/>
      <c r="J2" s="9" t="n"/>
      <c r="K2" s="9" t="n"/>
    </row>
    <row r="4" ht="15" customHeight="1" s="90">
      <c r="A4" s="57" t="inlineStr">
        <is>
          <t>Ano letivo 2025/2026</t>
        </is>
      </c>
    </row>
    <row r="5" ht="7.5" customHeight="1" s="90">
      <c r="A5" s="2" t="n"/>
    </row>
    <row r="6" ht="15" customHeight="1" s="90">
      <c r="A6" s="43" t="inlineStr">
        <is>
          <t>Ata de Avaliação da Prova de Aptidão Profissional</t>
        </is>
      </c>
    </row>
    <row r="7" ht="12.75" customHeight="1" s="90">
      <c r="A7" s="3" t="n"/>
    </row>
    <row r="8" ht="12.75" customHeight="1" s="90">
      <c r="A8" s="41" t="inlineStr">
        <is>
          <t>Aluno:</t>
        </is>
      </c>
      <c r="D8" s="96" t="inlineStr">
        <is>
          <t>Tiago Filipe da Silva</t>
        </is>
      </c>
      <c r="E8" s="38" t="n"/>
      <c r="F8" s="38" t="n"/>
      <c r="G8" s="38" t="n"/>
      <c r="H8" s="38" t="n"/>
      <c r="I8" s="38" t="n"/>
      <c r="J8" s="38" t="n"/>
      <c r="K8" s="7" t="n"/>
    </row>
    <row r="9" ht="12.75" customHeight="1" s="90">
      <c r="A9" s="41" t="n"/>
      <c r="B9" s="41" t="n"/>
      <c r="C9" s="41" t="inlineStr">
        <is>
          <t>Tema:</t>
        </is>
      </c>
      <c r="D9" s="96" t="inlineStr">
        <is>
          <t>Job For All - Plataforma Web de Divulgação e Gestão de Ofertas de Emprego</t>
        </is>
      </c>
      <c r="E9" s="38" t="n"/>
      <c r="F9" s="38" t="n"/>
      <c r="G9" s="38" t="n"/>
      <c r="H9" s="38" t="n"/>
      <c r="I9" s="38" t="n"/>
      <c r="J9" s="38" t="n"/>
      <c r="K9" s="7" t="n"/>
    </row>
    <row r="10" ht="18" customHeight="1" s="90">
      <c r="A10" s="41" t="inlineStr">
        <is>
          <t>Área de Formação:</t>
        </is>
      </c>
      <c r="D10" s="95" t="inlineStr">
        <is>
          <t>Ciências Informáticas (481)</t>
        </is>
      </c>
      <c r="E10" s="95" t="n"/>
      <c r="F10" s="95" t="n"/>
      <c r="G10" s="95" t="n"/>
      <c r="H10" s="95" t="n"/>
      <c r="I10" s="95" t="n"/>
      <c r="J10" s="95" t="n"/>
      <c r="K10" s="7" t="n"/>
    </row>
    <row r="11" ht="18.75" customHeight="1" s="90">
      <c r="A11" s="41" t="inlineStr">
        <is>
          <t>Curso Profissional:</t>
        </is>
      </c>
      <c r="D11" s="95" t="inlineStr">
        <is>
          <t>Técnico de Gestão e Programação de Sistemas Informáticos</t>
        </is>
      </c>
      <c r="E11" s="95" t="n"/>
      <c r="F11" s="95" t="n"/>
      <c r="G11" s="95" t="n"/>
      <c r="H11" s="95" t="n"/>
      <c r="I11" s="95" t="n"/>
      <c r="J11" s="95" t="n"/>
      <c r="K11" s="7" t="n"/>
    </row>
    <row r="12" ht="18" customHeight="1" s="90">
      <c r="A12" s="41" t="inlineStr">
        <is>
          <t>Saída Profissional:</t>
        </is>
      </c>
      <c r="D12" s="95" t="inlineStr">
        <is>
          <t>Técnico de Gestão e Programação de Sistemas Informáticos</t>
        </is>
      </c>
      <c r="E12" s="95" t="n"/>
      <c r="F12" s="95" t="n"/>
      <c r="G12" s="95" t="n"/>
      <c r="H12" s="95" t="n"/>
      <c r="I12" s="95" t="n"/>
      <c r="J12" s="95" t="n"/>
      <c r="K12" s="7" t="n"/>
    </row>
    <row r="13" ht="7.5" customHeight="1" s="90">
      <c r="A13" s="3" t="n"/>
    </row>
    <row r="14" ht="15" customHeight="1" s="90">
      <c r="A14" s="40" t="inlineStr">
        <is>
          <t>A – Desenvolvimento do Projeto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1" t="n"/>
    </row>
    <row r="15" ht="15" customHeight="1" s="90">
      <c r="A15" s="36" t="inlineStr">
        <is>
          <t>Cotação máxima</t>
        </is>
      </c>
      <c r="B15" s="31" t="n"/>
      <c r="C15" s="36" t="inlineStr">
        <is>
          <t>Itens avaliados</t>
        </is>
      </c>
      <c r="D15" s="33" t="n"/>
      <c r="E15" s="33" t="n"/>
      <c r="F15" s="33" t="n"/>
      <c r="G15" s="33" t="n"/>
      <c r="H15" s="33" t="n"/>
      <c r="I15" s="31" t="n"/>
      <c r="J15" s="36" t="inlineStr">
        <is>
          <t>Cotação atribuída</t>
        </is>
      </c>
      <c r="K15" s="31" t="n"/>
    </row>
    <row r="16" ht="12.75" customHeight="1" s="90">
      <c r="A16" s="36" t="n">
        <v>100</v>
      </c>
      <c r="B16" s="45" t="n"/>
      <c r="C16" s="32" t="inlineStr">
        <is>
          <t>Definição dos objetivos do projeto</t>
        </is>
      </c>
      <c r="D16" s="33" t="n"/>
      <c r="E16" s="33" t="n"/>
      <c r="F16" s="33" t="n"/>
      <c r="G16" s="33" t="n"/>
      <c r="H16" s="33" t="n"/>
      <c r="I16" s="31" t="n"/>
      <c r="J16" s="51">
        <f>'Avaliação'!Z22*5</f>
        <v/>
      </c>
      <c r="K16" s="52" t="n"/>
    </row>
    <row r="17" ht="12.75" customHeight="1" s="90">
      <c r="A17" s="46" t="n"/>
      <c r="B17" s="47" t="n"/>
      <c r="C17" s="32" t="inlineStr">
        <is>
          <t>Qualidade científica e técnica</t>
        </is>
      </c>
      <c r="D17" s="33" t="n"/>
      <c r="E17" s="33" t="n"/>
      <c r="F17" s="33" t="n"/>
      <c r="G17" s="33" t="n"/>
      <c r="H17" s="33" t="n"/>
      <c r="I17" s="31" t="n"/>
      <c r="J17" s="53" t="n"/>
      <c r="K17" s="54" t="n"/>
    </row>
    <row r="18" ht="12.75" customHeight="1" s="90">
      <c r="A18" s="46" t="n"/>
      <c r="B18" s="47" t="n"/>
      <c r="C18" s="32" t="inlineStr">
        <is>
          <t>Pertinência, criatividade e inovação</t>
        </is>
      </c>
      <c r="D18" s="33" t="n"/>
      <c r="E18" s="33" t="n"/>
      <c r="F18" s="33" t="n"/>
      <c r="G18" s="33" t="n"/>
      <c r="H18" s="33" t="n"/>
      <c r="I18" s="31" t="n"/>
      <c r="J18" s="53" t="n"/>
      <c r="K18" s="54" t="n"/>
      <c r="M18" s="10" t="n"/>
    </row>
    <row r="19" ht="12.75" customHeight="1" s="90">
      <c r="A19" s="46" t="n"/>
      <c r="B19" s="47" t="n"/>
      <c r="C19" s="32" t="inlineStr">
        <is>
          <t>Planeamento dos recursos necessários</t>
        </is>
      </c>
      <c r="D19" s="33" t="n"/>
      <c r="E19" s="33" t="n"/>
      <c r="F19" s="33" t="n"/>
      <c r="G19" s="33" t="n"/>
      <c r="H19" s="33" t="n"/>
      <c r="I19" s="31" t="n"/>
      <c r="J19" s="53" t="n"/>
      <c r="K19" s="54" t="n"/>
    </row>
    <row r="20" ht="12.75" customHeight="1" s="90">
      <c r="A20" s="46" t="n"/>
      <c r="B20" s="47" t="n"/>
      <c r="C20" s="32" t="inlineStr">
        <is>
          <t>Definição das fases de execução do projeto</t>
        </is>
      </c>
      <c r="D20" s="33" t="n"/>
      <c r="E20" s="33" t="n"/>
      <c r="F20" s="33" t="n"/>
      <c r="G20" s="33" t="n"/>
      <c r="H20" s="33" t="n"/>
      <c r="I20" s="31" t="n"/>
      <c r="J20" s="53" t="n"/>
      <c r="K20" s="54" t="n"/>
    </row>
    <row r="21" ht="12.75" customHeight="1" s="90">
      <c r="A21" s="46" t="n"/>
      <c r="B21" s="47" t="n"/>
      <c r="C21" s="32" t="inlineStr">
        <is>
          <t>Autonomia</t>
        </is>
      </c>
      <c r="D21" s="33" t="n"/>
      <c r="E21" s="33" t="n"/>
      <c r="F21" s="33" t="n"/>
      <c r="G21" s="33" t="n"/>
      <c r="H21" s="33" t="n"/>
      <c r="I21" s="31" t="n"/>
      <c r="J21" s="53" t="n"/>
      <c r="K21" s="54" t="n"/>
    </row>
    <row r="22" ht="12.75" customHeight="1" s="90">
      <c r="A22" s="48" t="n"/>
      <c r="B22" s="49" t="n"/>
      <c r="C22" s="32" t="inlineStr">
        <is>
          <t>Sentido de responsabilidade e gestão do tempo</t>
        </is>
      </c>
      <c r="D22" s="33" t="n"/>
      <c r="E22" s="33" t="n"/>
      <c r="F22" s="33" t="n"/>
      <c r="G22" s="33" t="n"/>
      <c r="H22" s="33" t="n"/>
      <c r="I22" s="31" t="n"/>
      <c r="J22" s="55" t="n"/>
      <c r="K22" s="56" t="n"/>
    </row>
    <row r="23" ht="7.5" customHeight="1" s="90">
      <c r="A23" s="4" t="n"/>
    </row>
    <row r="24" ht="15" customHeight="1" s="90">
      <c r="A24" s="40" t="inlineStr">
        <is>
          <t>B – Relatório final</t>
        </is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1" t="n"/>
    </row>
    <row r="25" ht="15" customHeight="1" s="90">
      <c r="A25" s="36" t="inlineStr">
        <is>
          <t>Cotação máxima</t>
        </is>
      </c>
      <c r="B25" s="31" t="n"/>
      <c r="C25" s="36" t="inlineStr">
        <is>
          <t>Itens avaliados</t>
        </is>
      </c>
      <c r="D25" s="33" t="n"/>
      <c r="E25" s="33" t="n"/>
      <c r="F25" s="33" t="n"/>
      <c r="G25" s="33" t="n"/>
      <c r="H25" s="33" t="n"/>
      <c r="I25" s="31" t="n"/>
      <c r="J25" s="36" t="inlineStr">
        <is>
          <t>Cotação atribuída</t>
        </is>
      </c>
      <c r="K25" s="31" t="n"/>
    </row>
    <row r="26" ht="12.75" customHeight="1" s="90">
      <c r="A26" s="36" t="n">
        <v>40</v>
      </c>
      <c r="B26" s="45" t="n"/>
      <c r="C26" s="32" t="inlineStr">
        <is>
          <t>Objetividade</t>
        </is>
      </c>
      <c r="D26" s="33" t="n"/>
      <c r="E26" s="33" t="n"/>
      <c r="F26" s="33" t="n"/>
      <c r="G26" s="33" t="n"/>
      <c r="H26" s="33" t="n"/>
      <c r="I26" s="31" t="n"/>
      <c r="J26" s="51">
        <f>'Avaliação'!Z29*2</f>
        <v/>
      </c>
      <c r="K26" s="52" t="n"/>
    </row>
    <row r="27" ht="12.75" customHeight="1" s="90">
      <c r="A27" s="46" t="n"/>
      <c r="B27" s="47" t="n"/>
      <c r="C27" s="32" t="inlineStr">
        <is>
          <t>Pertinência das informações</t>
        </is>
      </c>
      <c r="D27" s="33" t="n"/>
      <c r="E27" s="33" t="n"/>
      <c r="F27" s="33" t="n"/>
      <c r="G27" s="33" t="n"/>
      <c r="H27" s="33" t="n"/>
      <c r="I27" s="31" t="n"/>
      <c r="J27" s="53" t="n"/>
      <c r="K27" s="54" t="n"/>
      <c r="M27" s="10" t="n"/>
    </row>
    <row r="28" ht="12.75" customHeight="1" s="90">
      <c r="A28" s="46" t="n"/>
      <c r="B28" s="47" t="n"/>
      <c r="C28" s="32" t="inlineStr">
        <is>
          <t>Identificação das dificuldades e meios de as superar</t>
        </is>
      </c>
      <c r="D28" s="33" t="n"/>
      <c r="E28" s="33" t="n"/>
      <c r="F28" s="33" t="n"/>
      <c r="G28" s="33" t="n"/>
      <c r="H28" s="33" t="n"/>
      <c r="I28" s="31" t="n"/>
      <c r="J28" s="53" t="n"/>
      <c r="K28" s="54" t="n"/>
    </row>
    <row r="29" ht="12.75" customHeight="1" s="90">
      <c r="A29" s="46" t="n"/>
      <c r="B29" s="47" t="n"/>
      <c r="C29" s="32" t="inlineStr">
        <is>
          <t>Capacidade de análise crítica</t>
        </is>
      </c>
      <c r="D29" s="33" t="n"/>
      <c r="E29" s="33" t="n"/>
      <c r="F29" s="33" t="n"/>
      <c r="G29" s="33" t="n"/>
      <c r="H29" s="33" t="n"/>
      <c r="I29" s="31" t="n"/>
      <c r="J29" s="53" t="n"/>
      <c r="K29" s="54" t="n"/>
    </row>
    <row r="30" ht="12.75" customHeight="1" s="90">
      <c r="A30" s="48" t="n"/>
      <c r="B30" s="49" t="n"/>
      <c r="C30" s="32" t="inlineStr">
        <is>
          <t>Sentido de responsabilidade e gestão do tempo</t>
        </is>
      </c>
      <c r="D30" s="33" t="n"/>
      <c r="E30" s="33" t="n"/>
      <c r="F30" s="33" t="n"/>
      <c r="G30" s="33" t="n"/>
      <c r="H30" s="33" t="n"/>
      <c r="I30" s="31" t="n"/>
      <c r="J30" s="55" t="n"/>
      <c r="K30" s="56" t="n"/>
    </row>
    <row r="31" ht="7.5" customHeight="1" s="90">
      <c r="A31" s="4" t="n"/>
    </row>
    <row r="32" ht="15" customHeight="1" s="90">
      <c r="A32" s="40" t="inlineStr">
        <is>
          <t>C – Apresentação e Defesa do Projecto</t>
        </is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1" t="n"/>
    </row>
    <row r="33" ht="15" customHeight="1" s="90">
      <c r="A33" s="36" t="inlineStr">
        <is>
          <t>Cotação máxima</t>
        </is>
      </c>
      <c r="B33" s="31" t="n"/>
      <c r="C33" s="36" t="inlineStr">
        <is>
          <t>Itens avaliados</t>
        </is>
      </c>
      <c r="D33" s="33" t="n"/>
      <c r="E33" s="33" t="n"/>
      <c r="F33" s="33" t="n"/>
      <c r="G33" s="33" t="n"/>
      <c r="H33" s="33" t="n"/>
      <c r="I33" s="31" t="n"/>
      <c r="J33" s="36" t="inlineStr">
        <is>
          <t>Cotação atribuída</t>
        </is>
      </c>
      <c r="K33" s="31" t="n"/>
    </row>
    <row r="34" ht="12.75" customHeight="1" s="90">
      <c r="A34" s="36" t="n">
        <v>60</v>
      </c>
      <c r="B34" s="45" t="n"/>
      <c r="C34" s="32" t="inlineStr">
        <is>
          <t xml:space="preserve">Capacidade de expressão oral e de expressão corporal </t>
        </is>
      </c>
      <c r="D34" s="33" t="n"/>
      <c r="E34" s="33" t="n"/>
      <c r="F34" s="33" t="n"/>
      <c r="G34" s="33" t="n"/>
      <c r="H34" s="33" t="n"/>
      <c r="I34" s="31" t="n"/>
      <c r="J34" s="51">
        <f>'Avaliação'!Z35*3</f>
        <v/>
      </c>
      <c r="K34" s="52" t="n"/>
    </row>
    <row r="35" ht="12.75" customHeight="1" s="90">
      <c r="A35" s="46" t="n"/>
      <c r="B35" s="47" t="n"/>
      <c r="C35" s="32" t="inlineStr">
        <is>
          <t>Capacidade de síntese</t>
        </is>
      </c>
      <c r="D35" s="33" t="n"/>
      <c r="E35" s="33" t="n"/>
      <c r="F35" s="33" t="n"/>
      <c r="G35" s="33" t="n"/>
      <c r="H35" s="33" t="n"/>
      <c r="I35" s="31" t="n"/>
      <c r="J35" s="53" t="n"/>
      <c r="K35" s="54" t="n"/>
    </row>
    <row r="36" ht="12.75" customHeight="1" s="90">
      <c r="A36" s="46" t="n"/>
      <c r="B36" s="47" t="n"/>
      <c r="C36" s="32" t="inlineStr">
        <is>
          <t>Qualidade dos recursos/estratégias utilizadas na apresentação</t>
        </is>
      </c>
      <c r="D36" s="33" t="n"/>
      <c r="E36" s="33" t="n"/>
      <c r="F36" s="33" t="n"/>
      <c r="G36" s="33" t="n"/>
      <c r="H36" s="33" t="n"/>
      <c r="I36" s="31" t="n"/>
      <c r="J36" s="53" t="n"/>
      <c r="K36" s="54" t="n"/>
      <c r="M36" s="10" t="n"/>
    </row>
    <row r="37" ht="12.75" customHeight="1" s="90">
      <c r="A37" s="48" t="n"/>
      <c r="B37" s="49" t="n"/>
      <c r="C37" s="32" t="inlineStr">
        <is>
          <t>Qualidade de argumentação na defesa do projeto</t>
        </is>
      </c>
      <c r="D37" s="33" t="n"/>
      <c r="E37" s="33" t="n"/>
      <c r="F37" s="33" t="n"/>
      <c r="G37" s="33" t="n"/>
      <c r="H37" s="33" t="n"/>
      <c r="I37" s="31" t="n"/>
      <c r="J37" s="55" t="n"/>
      <c r="K37" s="56" t="n"/>
    </row>
    <row r="38" ht="7.5" customHeight="1" s="90">
      <c r="A38" s="6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 ht="19.5" customHeight="1" s="90">
      <c r="A39" s="39">
        <f>SUM(A16,A26,A34)</f>
        <v/>
      </c>
      <c r="B39" s="31" t="n"/>
      <c r="C39" s="39" t="inlineStr">
        <is>
          <t>Avaliação Final</t>
        </is>
      </c>
      <c r="D39" s="33" t="n"/>
      <c r="E39" s="33" t="n"/>
      <c r="F39" s="33" t="n"/>
      <c r="G39" s="33" t="n"/>
      <c r="H39" s="33" t="n"/>
      <c r="I39" s="31" t="n"/>
      <c r="J39" s="30">
        <f>ROUND(SUM(J16,J26,J34),0)</f>
        <v/>
      </c>
      <c r="K39" s="31" t="n"/>
    </row>
    <row r="40" ht="7.5" customHeight="1" s="90">
      <c r="A40" s="4" t="n"/>
    </row>
    <row r="41" ht="12.75" customHeight="1" s="90">
      <c r="A41" s="40" t="inlineStr">
        <is>
          <t>Observações:</t>
        </is>
      </c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1" t="n"/>
    </row>
    <row r="42" ht="12.75" customHeight="1" s="90">
      <c r="A42" s="58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2" t="n"/>
    </row>
    <row r="43" ht="12.75" customHeight="1" s="90">
      <c r="A43" s="53" t="n"/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54" t="n"/>
    </row>
    <row r="44" ht="12.75" customHeight="1" s="90">
      <c r="A44" s="53" t="n"/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54" t="n"/>
    </row>
    <row r="45" ht="12.75" customHeight="1" s="90">
      <c r="A45" s="53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54" t="n"/>
    </row>
    <row r="46" ht="12.75" customHeight="1" s="90">
      <c r="A46" s="55" t="n"/>
      <c r="B46" s="60" t="n"/>
      <c r="C46" s="60" t="n"/>
      <c r="D46" s="60" t="n"/>
      <c r="E46" s="60" t="n"/>
      <c r="F46" s="60" t="n"/>
      <c r="G46" s="60" t="n"/>
      <c r="H46" s="60" t="n"/>
      <c r="I46" s="60" t="n"/>
      <c r="J46" s="60" t="n"/>
      <c r="K46" s="56" t="n"/>
    </row>
    <row r="47" ht="7.5" customHeight="1" s="90">
      <c r="A47" s="5" t="n"/>
    </row>
    <row r="48" ht="12.75" customHeight="1" s="90">
      <c r="B48" s="5" t="n"/>
      <c r="C48" s="44" t="inlineStr">
        <is>
          <t xml:space="preserve">Caldas da Rainha, </t>
        </is>
      </c>
      <c r="F48" s="5" t="n"/>
      <c r="G48" s="61">
        <f>NOW()</f>
        <v/>
      </c>
      <c r="J48" s="5" t="n"/>
      <c r="K48" s="5" t="n"/>
    </row>
    <row r="49" ht="7.5" customHeight="1" s="90">
      <c r="A49" s="5" t="n"/>
    </row>
    <row r="50" ht="12.75" customHeight="1" s="90">
      <c r="A50" s="5" t="n"/>
      <c r="E50" s="50" t="inlineStr">
        <is>
          <t>O Júri da Prova</t>
        </is>
      </c>
    </row>
    <row r="51" ht="7.5" customHeight="1" s="90">
      <c r="A51" s="5" t="n"/>
    </row>
    <row r="52" ht="12.75" customHeight="1" s="90">
      <c r="A52" s="35" t="inlineStr">
        <is>
          <t>Qualidade em que está nomeado</t>
        </is>
      </c>
      <c r="B52" s="33" t="n"/>
      <c r="C52" s="33" t="n"/>
      <c r="D52" s="33" t="n"/>
      <c r="E52" s="31" t="n"/>
      <c r="G52" s="35" t="inlineStr">
        <is>
          <t>Assinatura</t>
        </is>
      </c>
      <c r="H52" s="33" t="n"/>
      <c r="I52" s="33" t="n"/>
      <c r="J52" s="33" t="n"/>
      <c r="K52" s="31" t="n"/>
    </row>
    <row r="53" ht="22.5" customHeight="1" s="90">
      <c r="A53" s="32" t="inlineStr">
        <is>
          <t>Presidente do Júri</t>
        </is>
      </c>
      <c r="B53" s="33" t="n"/>
      <c r="C53" s="33" t="n"/>
      <c r="D53" s="33" t="n"/>
      <c r="E53" s="31" t="n"/>
      <c r="G53" s="34" t="n"/>
      <c r="H53" s="33" t="n"/>
      <c r="I53" s="33" t="n"/>
      <c r="J53" s="33" t="n"/>
      <c r="K53" s="31" t="n"/>
    </row>
    <row r="54" ht="22.5" customHeight="1" s="90">
      <c r="A54" s="32" t="inlineStr">
        <is>
          <t>Professor Orientador do Projeto</t>
        </is>
      </c>
      <c r="B54" s="33" t="n"/>
      <c r="C54" s="33" t="n"/>
      <c r="D54" s="33" t="n"/>
      <c r="E54" s="31" t="n"/>
      <c r="G54" s="34" t="n"/>
      <c r="H54" s="33" t="n"/>
      <c r="I54" s="33" t="n"/>
      <c r="J54" s="33" t="n"/>
      <c r="K54" s="31" t="n"/>
    </row>
    <row r="55" ht="22.5" customHeight="1" s="90">
      <c r="A55" s="32" t="inlineStr">
        <is>
          <t>Representante das Associações Empresariais</t>
        </is>
      </c>
      <c r="B55" s="33" t="n"/>
      <c r="C55" s="33" t="n"/>
      <c r="D55" s="33" t="n"/>
      <c r="E55" s="31" t="n"/>
      <c r="G55" s="34" t="n"/>
      <c r="H55" s="33" t="n"/>
      <c r="I55" s="33" t="n"/>
      <c r="J55" s="33" t="n"/>
      <c r="K55" s="31" t="n"/>
    </row>
    <row r="56" ht="22.5" customHeight="1" s="90">
      <c r="A56" s="32" t="inlineStr">
        <is>
          <t>Personalidade de reconhecido mérito</t>
        </is>
      </c>
      <c r="B56" s="33" t="n"/>
      <c r="C56" s="33" t="n"/>
      <c r="D56" s="33" t="n"/>
      <c r="E56" s="31" t="n"/>
      <c r="G56" s="34" t="n"/>
      <c r="H56" s="33" t="n"/>
      <c r="I56" s="33" t="n"/>
      <c r="J56" s="33" t="n"/>
      <c r="K56" s="31" t="n"/>
    </row>
  </sheetData>
  <mergeCells count="60">
    <mergeCell ref="J39:K39"/>
    <mergeCell ref="C36:I36"/>
    <mergeCell ref="G56:K56"/>
    <mergeCell ref="G52:K52"/>
    <mergeCell ref="A15:B15"/>
    <mergeCell ref="D9:J9"/>
    <mergeCell ref="C17:I17"/>
    <mergeCell ref="C39:I39"/>
    <mergeCell ref="D8:J8"/>
    <mergeCell ref="A24:K24"/>
    <mergeCell ref="A12:C12"/>
    <mergeCell ref="C19:I19"/>
    <mergeCell ref="C37:I37"/>
    <mergeCell ref="A6:K6"/>
    <mergeCell ref="C28:I28"/>
    <mergeCell ref="C18:I18"/>
    <mergeCell ref="A25:B25"/>
    <mergeCell ref="A54:E54"/>
    <mergeCell ref="A8:C8"/>
    <mergeCell ref="J15:K15"/>
    <mergeCell ref="A41:K41"/>
    <mergeCell ref="C34:I34"/>
    <mergeCell ref="C48:E48"/>
    <mergeCell ref="C30:I30"/>
    <mergeCell ref="G53:K53"/>
    <mergeCell ref="C15:I15"/>
    <mergeCell ref="C33:I33"/>
    <mergeCell ref="A56:E56"/>
    <mergeCell ref="A10:C10"/>
    <mergeCell ref="A55:E55"/>
    <mergeCell ref="A34:B37"/>
    <mergeCell ref="C26:I26"/>
    <mergeCell ref="A33:B33"/>
    <mergeCell ref="C35:I35"/>
    <mergeCell ref="J25:K25"/>
    <mergeCell ref="C20:I20"/>
    <mergeCell ref="E50:G50"/>
    <mergeCell ref="C29:I29"/>
    <mergeCell ref="C16:I16"/>
    <mergeCell ref="A32:K32"/>
    <mergeCell ref="A14:K14"/>
    <mergeCell ref="J26:K30"/>
    <mergeCell ref="C25:I25"/>
    <mergeCell ref="G55:K55"/>
    <mergeCell ref="A16:B22"/>
    <mergeCell ref="A53:E53"/>
    <mergeCell ref="C22:I22"/>
    <mergeCell ref="A11:C11"/>
    <mergeCell ref="A4:K4"/>
    <mergeCell ref="A52:E52"/>
    <mergeCell ref="J16:K22"/>
    <mergeCell ref="C21:I21"/>
    <mergeCell ref="J34:K37"/>
    <mergeCell ref="A26:B30"/>
    <mergeCell ref="A42:K46"/>
    <mergeCell ref="J33:K33"/>
    <mergeCell ref="G54:K54"/>
    <mergeCell ref="G48:I48"/>
    <mergeCell ref="C27:I27"/>
    <mergeCell ref="A39:B39"/>
  </mergeCells>
  <dataValidations count="3">
    <dataValidation sqref="D10" showDropDown="0" showInputMessage="0" showErrorMessage="0" allowBlank="1" errorTitle="Valor inválido" error="Seleccione um valor da lista." type="list">
      <formula1>='Auxiliar'!$B$6:$B$8</formula1>
    </dataValidation>
    <dataValidation sqref="D12" showDropDown="0" showInputMessage="0" showErrorMessage="0" allowBlank="1" errorTitle="Valor inválido" error="Seleccione um valor da lista." type="list">
      <formula1>='Auxiliar'!$D$6:$D$8</formula1>
    </dataValidation>
    <dataValidation sqref="D11" showDropDown="0" showInputMessage="0" showErrorMessage="0" allowBlank="1" errorTitle="Valor inválido" error="Seleccione um valor da lista." type="list">
      <formula1>='Auxiliar'!$B$16:$B$18</formula1>
    </dataValidation>
  </dataValidations>
  <printOptions horizontalCentered="1"/>
  <pageMargins left="0.984251968503937" right="0.5905511811023623" top="0.5905511811023623" bottom="0.5905511811023623" header="0" footer="0"/>
  <pageSetup orientation="portrait" paperSize="9" scale="9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2:M56"/>
  <sheetViews>
    <sheetView zoomScale="150" zoomScaleNormal="150" workbookViewId="0">
      <selection activeCell="I63" sqref="I63"/>
    </sheetView>
  </sheetViews>
  <sheetFormatPr baseColWidth="8" defaultColWidth="9.140625" defaultRowHeight="12.75" customHeight="1"/>
  <cols>
    <col width="8.5703125" customWidth="1" style="42" min="1" max="5"/>
    <col width="2" customWidth="1" style="42" min="6" max="6"/>
    <col width="8.5703125" customWidth="1" style="42" min="7" max="11"/>
    <col width="9.140625" customWidth="1" style="42" min="12" max="16"/>
    <col width="9.140625" customWidth="1" style="42" min="17" max="16384"/>
  </cols>
  <sheetData>
    <row r="2" ht="16.9" customHeight="1" s="90">
      <c r="B2" s="9" t="n"/>
      <c r="C2" s="9" t="n"/>
      <c r="D2" s="9" t="inlineStr">
        <is>
          <t>Agrupamento de Escolas Raul Proença</t>
        </is>
      </c>
      <c r="E2" s="9" t="n"/>
      <c r="F2" s="9" t="n"/>
      <c r="G2" s="9" t="n"/>
      <c r="H2" s="9" t="n"/>
      <c r="I2" s="9" t="n"/>
      <c r="J2" s="9" t="n"/>
      <c r="K2" s="9" t="n"/>
    </row>
    <row r="4" ht="15" customHeight="1" s="90">
      <c r="A4" s="57" t="inlineStr">
        <is>
          <t>Ano letivo 2025/2026</t>
        </is>
      </c>
    </row>
    <row r="5" ht="7.5" customHeight="1" s="90">
      <c r="A5" s="2" t="n"/>
    </row>
    <row r="6" ht="15" customHeight="1" s="90">
      <c r="A6" s="43" t="inlineStr">
        <is>
          <t>Ata de Avaliação da Prova de Aptidão Profissional</t>
        </is>
      </c>
    </row>
    <row r="7" ht="12.75" customHeight="1" s="90">
      <c r="A7" s="3" t="n"/>
    </row>
    <row r="8" ht="12.75" customHeight="1" s="90">
      <c r="A8" s="41" t="inlineStr">
        <is>
          <t>Aluno:</t>
        </is>
      </c>
      <c r="D8" s="96" t="inlineStr">
        <is>
          <t>Tiago Miguel Santos Silva</t>
        </is>
      </c>
      <c r="E8" s="38" t="n"/>
      <c r="F8" s="38" t="n"/>
      <c r="G8" s="38" t="n"/>
      <c r="H8" s="38" t="n"/>
      <c r="I8" s="38" t="n"/>
      <c r="J8" s="38" t="n"/>
      <c r="K8" s="7" t="n"/>
    </row>
    <row r="9" ht="12.75" customHeight="1" s="90">
      <c r="A9" s="41" t="n"/>
      <c r="B9" s="41" t="n"/>
      <c r="C9" s="41" t="inlineStr">
        <is>
          <t>Tema:</t>
        </is>
      </c>
      <c r="D9" s="96" t="inlineStr">
        <is>
          <t>H2O Analytics - Sistema Autónomo de Monitorização e Análise Georreferenciada da Qualidade da Água</t>
        </is>
      </c>
      <c r="E9" s="38" t="n"/>
      <c r="F9" s="38" t="n"/>
      <c r="G9" s="38" t="n"/>
      <c r="H9" s="38" t="n"/>
      <c r="I9" s="38" t="n"/>
      <c r="J9" s="38" t="n"/>
      <c r="K9" s="7" t="n"/>
    </row>
    <row r="10" ht="18" customHeight="1" s="90">
      <c r="A10" s="41" t="inlineStr">
        <is>
          <t>Área de Formação:</t>
        </is>
      </c>
      <c r="D10" s="95" t="inlineStr">
        <is>
          <t>Ciências Informáticas (481)</t>
        </is>
      </c>
      <c r="E10" s="95" t="n"/>
      <c r="F10" s="95" t="n"/>
      <c r="G10" s="95" t="n"/>
      <c r="H10" s="95" t="n"/>
      <c r="I10" s="95" t="n"/>
      <c r="J10" s="95" t="n"/>
      <c r="K10" s="7" t="n"/>
    </row>
    <row r="11" ht="18.75" customHeight="1" s="90">
      <c r="A11" s="41" t="inlineStr">
        <is>
          <t>Curso Profissional:</t>
        </is>
      </c>
      <c r="D11" s="95" t="inlineStr">
        <is>
          <t>Técnico de Gestão e Programação de Sistemas Informáticos</t>
        </is>
      </c>
      <c r="E11" s="95" t="n"/>
      <c r="F11" s="95" t="n"/>
      <c r="G11" s="95" t="n"/>
      <c r="H11" s="95" t="n"/>
      <c r="I11" s="95" t="n"/>
      <c r="J11" s="95" t="n"/>
      <c r="K11" s="7" t="n"/>
    </row>
    <row r="12" ht="18" customHeight="1" s="90">
      <c r="A12" s="41" t="inlineStr">
        <is>
          <t>Saída Profissional:</t>
        </is>
      </c>
      <c r="D12" s="95" t="inlineStr">
        <is>
          <t>Técnico de Gestão e Programação de Sistemas Informáticos</t>
        </is>
      </c>
      <c r="E12" s="95" t="n"/>
      <c r="F12" s="95" t="n"/>
      <c r="G12" s="95" t="n"/>
      <c r="H12" s="95" t="n"/>
      <c r="I12" s="95" t="n"/>
      <c r="J12" s="95" t="n"/>
      <c r="K12" s="7" t="n"/>
    </row>
    <row r="13" ht="7.5" customHeight="1" s="90">
      <c r="A13" s="3" t="n"/>
    </row>
    <row r="14" ht="15" customHeight="1" s="90">
      <c r="A14" s="40" t="inlineStr">
        <is>
          <t>A – Desenvolvimento do Projeto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1" t="n"/>
    </row>
    <row r="15" ht="15" customHeight="1" s="90">
      <c r="A15" s="36" t="inlineStr">
        <is>
          <t>Cotação máxima</t>
        </is>
      </c>
      <c r="B15" s="31" t="n"/>
      <c r="C15" s="36" t="inlineStr">
        <is>
          <t>Itens avaliados</t>
        </is>
      </c>
      <c r="D15" s="33" t="n"/>
      <c r="E15" s="33" t="n"/>
      <c r="F15" s="33" t="n"/>
      <c r="G15" s="33" t="n"/>
      <c r="H15" s="33" t="n"/>
      <c r="I15" s="31" t="n"/>
      <c r="J15" s="36" t="inlineStr">
        <is>
          <t>Cotação atribuída</t>
        </is>
      </c>
      <c r="K15" s="31" t="n"/>
    </row>
    <row r="16" ht="12.75" customHeight="1" s="90">
      <c r="A16" s="36" t="n">
        <v>100</v>
      </c>
      <c r="B16" s="45" t="n"/>
      <c r="C16" s="32" t="inlineStr">
        <is>
          <t>Definição dos objetivos do projeto</t>
        </is>
      </c>
      <c r="D16" s="33" t="n"/>
      <c r="E16" s="33" t="n"/>
      <c r="F16" s="33" t="n"/>
      <c r="G16" s="33" t="n"/>
      <c r="H16" s="33" t="n"/>
      <c r="I16" s="31" t="n"/>
      <c r="J16" s="51">
        <f>'Avaliação'!AA22*5</f>
        <v/>
      </c>
      <c r="K16" s="52" t="n"/>
    </row>
    <row r="17" ht="12.75" customHeight="1" s="90">
      <c r="A17" s="46" t="n"/>
      <c r="B17" s="47" t="n"/>
      <c r="C17" s="32" t="inlineStr">
        <is>
          <t>Qualidade científica e técnica</t>
        </is>
      </c>
      <c r="D17" s="33" t="n"/>
      <c r="E17" s="33" t="n"/>
      <c r="F17" s="33" t="n"/>
      <c r="G17" s="33" t="n"/>
      <c r="H17" s="33" t="n"/>
      <c r="I17" s="31" t="n"/>
      <c r="J17" s="53" t="n"/>
      <c r="K17" s="54" t="n"/>
    </row>
    <row r="18" ht="12.75" customHeight="1" s="90">
      <c r="A18" s="46" t="n"/>
      <c r="B18" s="47" t="n"/>
      <c r="C18" s="32" t="inlineStr">
        <is>
          <t>Pertinência, criatividade e inovação</t>
        </is>
      </c>
      <c r="D18" s="33" t="n"/>
      <c r="E18" s="33" t="n"/>
      <c r="F18" s="33" t="n"/>
      <c r="G18" s="33" t="n"/>
      <c r="H18" s="33" t="n"/>
      <c r="I18" s="31" t="n"/>
      <c r="J18" s="53" t="n"/>
      <c r="K18" s="54" t="n"/>
      <c r="M18" s="10" t="n"/>
    </row>
    <row r="19" ht="12.75" customHeight="1" s="90">
      <c r="A19" s="46" t="n"/>
      <c r="B19" s="47" t="n"/>
      <c r="C19" s="32" t="inlineStr">
        <is>
          <t>Planeamento dos recursos necessários</t>
        </is>
      </c>
      <c r="D19" s="33" t="n"/>
      <c r="E19" s="33" t="n"/>
      <c r="F19" s="33" t="n"/>
      <c r="G19" s="33" t="n"/>
      <c r="H19" s="33" t="n"/>
      <c r="I19" s="31" t="n"/>
      <c r="J19" s="53" t="n"/>
      <c r="K19" s="54" t="n"/>
    </row>
    <row r="20" ht="12.75" customHeight="1" s="90">
      <c r="A20" s="46" t="n"/>
      <c r="B20" s="47" t="n"/>
      <c r="C20" s="32" t="inlineStr">
        <is>
          <t>Definição das fases de execução do projeto</t>
        </is>
      </c>
      <c r="D20" s="33" t="n"/>
      <c r="E20" s="33" t="n"/>
      <c r="F20" s="33" t="n"/>
      <c r="G20" s="33" t="n"/>
      <c r="H20" s="33" t="n"/>
      <c r="I20" s="31" t="n"/>
      <c r="J20" s="53" t="n"/>
      <c r="K20" s="54" t="n"/>
    </row>
    <row r="21" ht="12.75" customHeight="1" s="90">
      <c r="A21" s="46" t="n"/>
      <c r="B21" s="47" t="n"/>
      <c r="C21" s="32" t="inlineStr">
        <is>
          <t>Autonomia</t>
        </is>
      </c>
      <c r="D21" s="33" t="n"/>
      <c r="E21" s="33" t="n"/>
      <c r="F21" s="33" t="n"/>
      <c r="G21" s="33" t="n"/>
      <c r="H21" s="33" t="n"/>
      <c r="I21" s="31" t="n"/>
      <c r="J21" s="53" t="n"/>
      <c r="K21" s="54" t="n"/>
    </row>
    <row r="22" ht="12.75" customHeight="1" s="90">
      <c r="A22" s="48" t="n"/>
      <c r="B22" s="49" t="n"/>
      <c r="C22" s="32" t="inlineStr">
        <is>
          <t>Sentido de responsabilidade e gestão do tempo</t>
        </is>
      </c>
      <c r="D22" s="33" t="n"/>
      <c r="E22" s="33" t="n"/>
      <c r="F22" s="33" t="n"/>
      <c r="G22" s="33" t="n"/>
      <c r="H22" s="33" t="n"/>
      <c r="I22" s="31" t="n"/>
      <c r="J22" s="55" t="n"/>
      <c r="K22" s="56" t="n"/>
    </row>
    <row r="23" ht="7.5" customHeight="1" s="90">
      <c r="A23" s="4" t="n"/>
    </row>
    <row r="24" ht="15" customHeight="1" s="90">
      <c r="A24" s="40" t="inlineStr">
        <is>
          <t>B – Relatório final</t>
        </is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1" t="n"/>
    </row>
    <row r="25" ht="15" customHeight="1" s="90">
      <c r="A25" s="36" t="inlineStr">
        <is>
          <t>Cotação máxima</t>
        </is>
      </c>
      <c r="B25" s="31" t="n"/>
      <c r="C25" s="36" t="inlineStr">
        <is>
          <t>Itens avaliados</t>
        </is>
      </c>
      <c r="D25" s="33" t="n"/>
      <c r="E25" s="33" t="n"/>
      <c r="F25" s="33" t="n"/>
      <c r="G25" s="33" t="n"/>
      <c r="H25" s="33" t="n"/>
      <c r="I25" s="31" t="n"/>
      <c r="J25" s="36" t="inlineStr">
        <is>
          <t>Cotação atribuída</t>
        </is>
      </c>
      <c r="K25" s="31" t="n"/>
    </row>
    <row r="26" ht="12.75" customHeight="1" s="90">
      <c r="A26" s="36" t="n">
        <v>40</v>
      </c>
      <c r="B26" s="45" t="n"/>
      <c r="C26" s="32" t="inlineStr">
        <is>
          <t>Objetividade</t>
        </is>
      </c>
      <c r="D26" s="33" t="n"/>
      <c r="E26" s="33" t="n"/>
      <c r="F26" s="33" t="n"/>
      <c r="G26" s="33" t="n"/>
      <c r="H26" s="33" t="n"/>
      <c r="I26" s="31" t="n"/>
      <c r="J26" s="51">
        <f>'Avaliação'!AA29*2</f>
        <v/>
      </c>
      <c r="K26" s="52" t="n"/>
    </row>
    <row r="27" ht="12.75" customHeight="1" s="90">
      <c r="A27" s="46" t="n"/>
      <c r="B27" s="47" t="n"/>
      <c r="C27" s="32" t="inlineStr">
        <is>
          <t>Pertinência das informações</t>
        </is>
      </c>
      <c r="D27" s="33" t="n"/>
      <c r="E27" s="33" t="n"/>
      <c r="F27" s="33" t="n"/>
      <c r="G27" s="33" t="n"/>
      <c r="H27" s="33" t="n"/>
      <c r="I27" s="31" t="n"/>
      <c r="J27" s="53" t="n"/>
      <c r="K27" s="54" t="n"/>
      <c r="M27" s="10" t="n"/>
    </row>
    <row r="28" ht="12.75" customHeight="1" s="90">
      <c r="A28" s="46" t="n"/>
      <c r="B28" s="47" t="n"/>
      <c r="C28" s="32" t="inlineStr">
        <is>
          <t>Identificação das dificuldades e meios de as superar</t>
        </is>
      </c>
      <c r="D28" s="33" t="n"/>
      <c r="E28" s="33" t="n"/>
      <c r="F28" s="33" t="n"/>
      <c r="G28" s="33" t="n"/>
      <c r="H28" s="33" t="n"/>
      <c r="I28" s="31" t="n"/>
      <c r="J28" s="53" t="n"/>
      <c r="K28" s="54" t="n"/>
    </row>
    <row r="29" ht="12.75" customHeight="1" s="90">
      <c r="A29" s="46" t="n"/>
      <c r="B29" s="47" t="n"/>
      <c r="C29" s="32" t="inlineStr">
        <is>
          <t>Capacidade de análise crítica</t>
        </is>
      </c>
      <c r="D29" s="33" t="n"/>
      <c r="E29" s="33" t="n"/>
      <c r="F29" s="33" t="n"/>
      <c r="G29" s="33" t="n"/>
      <c r="H29" s="33" t="n"/>
      <c r="I29" s="31" t="n"/>
      <c r="J29" s="53" t="n"/>
      <c r="K29" s="54" t="n"/>
    </row>
    <row r="30" ht="12.75" customHeight="1" s="90">
      <c r="A30" s="48" t="n"/>
      <c r="B30" s="49" t="n"/>
      <c r="C30" s="32" t="inlineStr">
        <is>
          <t>Sentido de responsabilidade e gestão do tempo</t>
        </is>
      </c>
      <c r="D30" s="33" t="n"/>
      <c r="E30" s="33" t="n"/>
      <c r="F30" s="33" t="n"/>
      <c r="G30" s="33" t="n"/>
      <c r="H30" s="33" t="n"/>
      <c r="I30" s="31" t="n"/>
      <c r="J30" s="55" t="n"/>
      <c r="K30" s="56" t="n"/>
    </row>
    <row r="31" ht="7.5" customHeight="1" s="90">
      <c r="A31" s="4" t="n"/>
    </row>
    <row r="32" ht="15" customHeight="1" s="90">
      <c r="A32" s="40" t="inlineStr">
        <is>
          <t>C – Apresentação e Defesa do Projecto</t>
        </is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1" t="n"/>
    </row>
    <row r="33" ht="15" customHeight="1" s="90">
      <c r="A33" s="36" t="inlineStr">
        <is>
          <t>Cotação máxima</t>
        </is>
      </c>
      <c r="B33" s="31" t="n"/>
      <c r="C33" s="36" t="inlineStr">
        <is>
          <t>Itens avaliados</t>
        </is>
      </c>
      <c r="D33" s="33" t="n"/>
      <c r="E33" s="33" t="n"/>
      <c r="F33" s="33" t="n"/>
      <c r="G33" s="33" t="n"/>
      <c r="H33" s="33" t="n"/>
      <c r="I33" s="31" t="n"/>
      <c r="J33" s="36" t="inlineStr">
        <is>
          <t>Cotação atribuída</t>
        </is>
      </c>
      <c r="K33" s="31" t="n"/>
    </row>
    <row r="34" ht="12.75" customHeight="1" s="90">
      <c r="A34" s="36" t="n">
        <v>60</v>
      </c>
      <c r="B34" s="45" t="n"/>
      <c r="C34" s="32" t="inlineStr">
        <is>
          <t xml:space="preserve">Capacidade de expressão oral e de expressão corporal </t>
        </is>
      </c>
      <c r="D34" s="33" t="n"/>
      <c r="E34" s="33" t="n"/>
      <c r="F34" s="33" t="n"/>
      <c r="G34" s="33" t="n"/>
      <c r="H34" s="33" t="n"/>
      <c r="I34" s="31" t="n"/>
      <c r="J34" s="51">
        <f>'Avaliação'!AA35*3</f>
        <v/>
      </c>
      <c r="K34" s="52" t="n"/>
    </row>
    <row r="35" ht="12.75" customHeight="1" s="90">
      <c r="A35" s="46" t="n"/>
      <c r="B35" s="47" t="n"/>
      <c r="C35" s="32" t="inlineStr">
        <is>
          <t>Capacidade de síntese</t>
        </is>
      </c>
      <c r="D35" s="33" t="n"/>
      <c r="E35" s="33" t="n"/>
      <c r="F35" s="33" t="n"/>
      <c r="G35" s="33" t="n"/>
      <c r="H35" s="33" t="n"/>
      <c r="I35" s="31" t="n"/>
      <c r="J35" s="53" t="n"/>
      <c r="K35" s="54" t="n"/>
    </row>
    <row r="36" ht="12.75" customHeight="1" s="90">
      <c r="A36" s="46" t="n"/>
      <c r="B36" s="47" t="n"/>
      <c r="C36" s="32" t="inlineStr">
        <is>
          <t>Qualidade dos recursos/estratégias utilizadas na apresentação</t>
        </is>
      </c>
      <c r="D36" s="33" t="n"/>
      <c r="E36" s="33" t="n"/>
      <c r="F36" s="33" t="n"/>
      <c r="G36" s="33" t="n"/>
      <c r="H36" s="33" t="n"/>
      <c r="I36" s="31" t="n"/>
      <c r="J36" s="53" t="n"/>
      <c r="K36" s="54" t="n"/>
      <c r="M36" s="10" t="n"/>
    </row>
    <row r="37" ht="12.75" customHeight="1" s="90">
      <c r="A37" s="48" t="n"/>
      <c r="B37" s="49" t="n"/>
      <c r="C37" s="32" t="inlineStr">
        <is>
          <t>Qualidade de argumentação na defesa do projeto</t>
        </is>
      </c>
      <c r="D37" s="33" t="n"/>
      <c r="E37" s="33" t="n"/>
      <c r="F37" s="33" t="n"/>
      <c r="G37" s="33" t="n"/>
      <c r="H37" s="33" t="n"/>
      <c r="I37" s="31" t="n"/>
      <c r="J37" s="55" t="n"/>
      <c r="K37" s="56" t="n"/>
    </row>
    <row r="38" ht="7.5" customHeight="1" s="90">
      <c r="A38" s="6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 ht="19.5" customHeight="1" s="90">
      <c r="A39" s="39">
        <f>SUM(A16,A26,A34)</f>
        <v/>
      </c>
      <c r="B39" s="31" t="n"/>
      <c r="C39" s="39" t="inlineStr">
        <is>
          <t>Avaliação Final</t>
        </is>
      </c>
      <c r="D39" s="33" t="n"/>
      <c r="E39" s="33" t="n"/>
      <c r="F39" s="33" t="n"/>
      <c r="G39" s="33" t="n"/>
      <c r="H39" s="33" t="n"/>
      <c r="I39" s="31" t="n"/>
      <c r="J39" s="30">
        <f>ROUND(SUM(J16,J26,J34),0)</f>
        <v/>
      </c>
      <c r="K39" s="31" t="n"/>
    </row>
    <row r="40" ht="7.5" customHeight="1" s="90">
      <c r="A40" s="4" t="n"/>
    </row>
    <row r="41" ht="12.75" customHeight="1" s="90">
      <c r="A41" s="40" t="inlineStr">
        <is>
          <t>Observações:</t>
        </is>
      </c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1" t="n"/>
    </row>
    <row r="42" ht="12.75" customHeight="1" s="90">
      <c r="A42" s="58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2" t="n"/>
    </row>
    <row r="43" ht="12.75" customHeight="1" s="90">
      <c r="A43" s="53" t="n"/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54" t="n"/>
    </row>
    <row r="44" ht="12.75" customHeight="1" s="90">
      <c r="A44" s="53" t="n"/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54" t="n"/>
    </row>
    <row r="45" ht="12.75" customHeight="1" s="90">
      <c r="A45" s="53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54" t="n"/>
    </row>
    <row r="46" ht="12.75" customHeight="1" s="90">
      <c r="A46" s="55" t="n"/>
      <c r="B46" s="60" t="n"/>
      <c r="C46" s="60" t="n"/>
      <c r="D46" s="60" t="n"/>
      <c r="E46" s="60" t="n"/>
      <c r="F46" s="60" t="n"/>
      <c r="G46" s="60" t="n"/>
      <c r="H46" s="60" t="n"/>
      <c r="I46" s="60" t="n"/>
      <c r="J46" s="60" t="n"/>
      <c r="K46" s="56" t="n"/>
    </row>
    <row r="47" ht="7.5" customHeight="1" s="90">
      <c r="A47" s="5" t="n"/>
    </row>
    <row r="48" ht="12.75" customHeight="1" s="90">
      <c r="B48" s="5" t="n"/>
      <c r="C48" s="44" t="inlineStr">
        <is>
          <t xml:space="preserve">Caldas da Rainha, </t>
        </is>
      </c>
      <c r="F48" s="5" t="n"/>
      <c r="G48" s="61">
        <f>NOW()</f>
        <v/>
      </c>
      <c r="J48" s="5" t="n"/>
      <c r="K48" s="5" t="n"/>
    </row>
    <row r="49" ht="7.5" customHeight="1" s="90">
      <c r="A49" s="5" t="n"/>
    </row>
    <row r="50" ht="12.75" customHeight="1" s="90">
      <c r="A50" s="5" t="n"/>
      <c r="E50" s="50" t="inlineStr">
        <is>
          <t>O Júri da Prova</t>
        </is>
      </c>
    </row>
    <row r="51" ht="7.5" customHeight="1" s="90">
      <c r="A51" s="5" t="n"/>
    </row>
    <row r="52" ht="12.75" customHeight="1" s="90">
      <c r="A52" s="35" t="inlineStr">
        <is>
          <t>Qualidade em que está nomeado</t>
        </is>
      </c>
      <c r="B52" s="33" t="n"/>
      <c r="C52" s="33" t="n"/>
      <c r="D52" s="33" t="n"/>
      <c r="E52" s="31" t="n"/>
      <c r="G52" s="35" t="inlineStr">
        <is>
          <t>Assinatura</t>
        </is>
      </c>
      <c r="H52" s="33" t="n"/>
      <c r="I52" s="33" t="n"/>
      <c r="J52" s="33" t="n"/>
      <c r="K52" s="31" t="n"/>
    </row>
    <row r="53" ht="22.5" customHeight="1" s="90">
      <c r="A53" s="32" t="inlineStr">
        <is>
          <t>Presidente do Júri</t>
        </is>
      </c>
      <c r="B53" s="33" t="n"/>
      <c r="C53" s="33" t="n"/>
      <c r="D53" s="33" t="n"/>
      <c r="E53" s="31" t="n"/>
      <c r="G53" s="34" t="n"/>
      <c r="H53" s="33" t="n"/>
      <c r="I53" s="33" t="n"/>
      <c r="J53" s="33" t="n"/>
      <c r="K53" s="31" t="n"/>
    </row>
    <row r="54" ht="22.5" customHeight="1" s="90">
      <c r="A54" s="32" t="inlineStr">
        <is>
          <t>Professor Orientador do Projeto</t>
        </is>
      </c>
      <c r="B54" s="33" t="n"/>
      <c r="C54" s="33" t="n"/>
      <c r="D54" s="33" t="n"/>
      <c r="E54" s="31" t="n"/>
      <c r="G54" s="34" t="n"/>
      <c r="H54" s="33" t="n"/>
      <c r="I54" s="33" t="n"/>
      <c r="J54" s="33" t="n"/>
      <c r="K54" s="31" t="n"/>
    </row>
    <row r="55" ht="22.5" customHeight="1" s="90">
      <c r="A55" s="32" t="inlineStr">
        <is>
          <t>Representante das Associações Empresariais</t>
        </is>
      </c>
      <c r="B55" s="33" t="n"/>
      <c r="C55" s="33" t="n"/>
      <c r="D55" s="33" t="n"/>
      <c r="E55" s="31" t="n"/>
      <c r="G55" s="34" t="n"/>
      <c r="H55" s="33" t="n"/>
      <c r="I55" s="33" t="n"/>
      <c r="J55" s="33" t="n"/>
      <c r="K55" s="31" t="n"/>
    </row>
    <row r="56" ht="22.5" customHeight="1" s="90">
      <c r="A56" s="32" t="inlineStr">
        <is>
          <t>Personalidade de reconhecido mérito</t>
        </is>
      </c>
      <c r="B56" s="33" t="n"/>
      <c r="C56" s="33" t="n"/>
      <c r="D56" s="33" t="n"/>
      <c r="E56" s="31" t="n"/>
      <c r="G56" s="34" t="n"/>
      <c r="H56" s="33" t="n"/>
      <c r="I56" s="33" t="n"/>
      <c r="J56" s="33" t="n"/>
      <c r="K56" s="31" t="n"/>
    </row>
  </sheetData>
  <mergeCells count="60">
    <mergeCell ref="J39:K39"/>
    <mergeCell ref="C36:I36"/>
    <mergeCell ref="G56:K56"/>
    <mergeCell ref="G52:K52"/>
    <mergeCell ref="A15:B15"/>
    <mergeCell ref="D9:J9"/>
    <mergeCell ref="C17:I17"/>
    <mergeCell ref="C39:I39"/>
    <mergeCell ref="D8:J8"/>
    <mergeCell ref="A24:K24"/>
    <mergeCell ref="A12:C12"/>
    <mergeCell ref="C19:I19"/>
    <mergeCell ref="C37:I37"/>
    <mergeCell ref="A6:K6"/>
    <mergeCell ref="C28:I28"/>
    <mergeCell ref="C18:I18"/>
    <mergeCell ref="A25:B25"/>
    <mergeCell ref="A54:E54"/>
    <mergeCell ref="A8:C8"/>
    <mergeCell ref="J15:K15"/>
    <mergeCell ref="A41:K41"/>
    <mergeCell ref="C34:I34"/>
    <mergeCell ref="C48:E48"/>
    <mergeCell ref="C30:I30"/>
    <mergeCell ref="G53:K53"/>
    <mergeCell ref="C15:I15"/>
    <mergeCell ref="C33:I33"/>
    <mergeCell ref="A56:E56"/>
    <mergeCell ref="A10:C10"/>
    <mergeCell ref="A55:E55"/>
    <mergeCell ref="A34:B37"/>
    <mergeCell ref="C26:I26"/>
    <mergeCell ref="A33:B33"/>
    <mergeCell ref="C35:I35"/>
    <mergeCell ref="J25:K25"/>
    <mergeCell ref="C20:I20"/>
    <mergeCell ref="E50:G50"/>
    <mergeCell ref="C29:I29"/>
    <mergeCell ref="C16:I16"/>
    <mergeCell ref="A32:K32"/>
    <mergeCell ref="A14:K14"/>
    <mergeCell ref="J26:K30"/>
    <mergeCell ref="C25:I25"/>
    <mergeCell ref="G55:K55"/>
    <mergeCell ref="A16:B22"/>
    <mergeCell ref="A53:E53"/>
    <mergeCell ref="C22:I22"/>
    <mergeCell ref="A11:C11"/>
    <mergeCell ref="A4:K4"/>
    <mergeCell ref="A52:E52"/>
    <mergeCell ref="J16:K22"/>
    <mergeCell ref="C21:I21"/>
    <mergeCell ref="J34:K37"/>
    <mergeCell ref="A26:B30"/>
    <mergeCell ref="A42:K46"/>
    <mergeCell ref="J33:K33"/>
    <mergeCell ref="G54:K54"/>
    <mergeCell ref="G48:I48"/>
    <mergeCell ref="C27:I27"/>
    <mergeCell ref="A39:B39"/>
  </mergeCells>
  <dataValidations count="3">
    <dataValidation sqref="D10" showDropDown="0" showInputMessage="0" showErrorMessage="0" allowBlank="1" errorTitle="Valor inválido" error="Seleccione um valor da lista." type="list">
      <formula1>='Auxiliar'!$B$6:$B$8</formula1>
    </dataValidation>
    <dataValidation sqref="D12" showDropDown="0" showInputMessage="0" showErrorMessage="0" allowBlank="1" errorTitle="Valor inválido" error="Seleccione um valor da lista." type="list">
      <formula1>='Auxiliar'!$D$6:$D$8</formula1>
    </dataValidation>
    <dataValidation sqref="D11" showDropDown="0" showInputMessage="0" showErrorMessage="0" allowBlank="1" errorTitle="Valor inválido" error="Seleccione um valor da lista." type="list">
      <formula1>='Auxiliar'!$B$16:$B$18</formula1>
    </dataValidation>
  </dataValidations>
  <printOptions horizontalCentered="1"/>
  <pageMargins left="0.984251968503937" right="0.5905511811023623" top="0.5905511811023623" bottom="0.5905511811023623" header="0" footer="0"/>
  <pageSetup orientation="portrait" paperSize="9" scale="9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2:M56"/>
  <sheetViews>
    <sheetView zoomScale="150" zoomScaleNormal="150" workbookViewId="0">
      <selection activeCell="B57" sqref="B57"/>
    </sheetView>
  </sheetViews>
  <sheetFormatPr baseColWidth="8" defaultColWidth="9.140625" defaultRowHeight="12.75" customHeight="1"/>
  <cols>
    <col width="8.5703125" customWidth="1" style="42" min="1" max="5"/>
    <col width="2" customWidth="1" style="42" min="6" max="6"/>
    <col width="8.5703125" customWidth="1" style="42" min="7" max="11"/>
    <col width="9.140625" customWidth="1" style="42" min="12" max="16"/>
    <col width="9.140625" customWidth="1" style="42" min="17" max="16384"/>
  </cols>
  <sheetData>
    <row r="2" ht="16.9" customHeight="1" s="90">
      <c r="B2" s="9" t="n"/>
      <c r="C2" s="9" t="n"/>
      <c r="D2" s="9" t="inlineStr">
        <is>
          <t>Agrupamento de Escolas Raul Proença</t>
        </is>
      </c>
      <c r="E2" s="9" t="n"/>
      <c r="F2" s="9" t="n"/>
      <c r="G2" s="9" t="n"/>
      <c r="H2" s="9" t="n"/>
      <c r="I2" s="9" t="n"/>
      <c r="J2" s="9" t="n"/>
      <c r="K2" s="9" t="n"/>
    </row>
    <row r="4" ht="15" customHeight="1" s="90">
      <c r="A4" s="57" t="inlineStr">
        <is>
          <t>Ano letivo 2025/2026</t>
        </is>
      </c>
    </row>
    <row r="5" ht="7.5" customHeight="1" s="90">
      <c r="A5" s="2" t="n"/>
    </row>
    <row r="6" ht="15" customHeight="1" s="90">
      <c r="A6" s="43" t="inlineStr">
        <is>
          <t>Ata de Avaliação da Prova de Aptidão Profissional</t>
        </is>
      </c>
    </row>
    <row r="7" ht="12.75" customHeight="1" s="90">
      <c r="A7" s="3" t="n"/>
    </row>
    <row r="8" ht="12.75" customHeight="1" s="90">
      <c r="A8" s="41" t="inlineStr">
        <is>
          <t>Aluno:</t>
        </is>
      </c>
      <c r="D8" s="96" t="inlineStr">
        <is>
          <t>Tiago Pereira Couto</t>
        </is>
      </c>
      <c r="E8" s="38" t="n"/>
      <c r="F8" s="38" t="n"/>
      <c r="G8" s="38" t="n"/>
      <c r="H8" s="38" t="n"/>
      <c r="I8" s="38" t="n"/>
      <c r="J8" s="38" t="n"/>
      <c r="K8" s="7" t="n"/>
    </row>
    <row r="9" ht="12.75" customHeight="1" s="90">
      <c r="A9" s="41" t="n"/>
      <c r="B9" s="41" t="n"/>
      <c r="C9" s="41" t="inlineStr">
        <is>
          <t>Tema:</t>
        </is>
      </c>
      <c r="D9" s="96" t="inlineStr">
        <is>
          <t>Footmania - Aplicação móvel para Gestão de Torneio de Futebol</t>
        </is>
      </c>
      <c r="E9" s="38" t="n"/>
      <c r="F9" s="38" t="n"/>
      <c r="G9" s="38" t="n"/>
      <c r="H9" s="38" t="n"/>
      <c r="I9" s="38" t="n"/>
      <c r="J9" s="38" t="n"/>
      <c r="K9" s="7" t="n"/>
    </row>
    <row r="10" ht="18" customHeight="1" s="90">
      <c r="A10" s="41" t="inlineStr">
        <is>
          <t>Área de Formação:</t>
        </is>
      </c>
      <c r="D10" s="95" t="inlineStr">
        <is>
          <t>Ciências Informáticas (481)</t>
        </is>
      </c>
      <c r="E10" s="95" t="n"/>
      <c r="F10" s="95" t="n"/>
      <c r="G10" s="95" t="n"/>
      <c r="H10" s="95" t="n"/>
      <c r="I10" s="95" t="n"/>
      <c r="J10" s="95" t="n"/>
      <c r="K10" s="7" t="n"/>
    </row>
    <row r="11" ht="18.75" customHeight="1" s="90">
      <c r="A11" s="41" t="inlineStr">
        <is>
          <t>Curso Profissional:</t>
        </is>
      </c>
      <c r="D11" s="95" t="inlineStr">
        <is>
          <t>Técnico de Gestão e Programação de Sistemas Informáticos</t>
        </is>
      </c>
      <c r="E11" s="95" t="n"/>
      <c r="F11" s="95" t="n"/>
      <c r="G11" s="95" t="n"/>
      <c r="H11" s="95" t="n"/>
      <c r="I11" s="95" t="n"/>
      <c r="J11" s="95" t="n"/>
      <c r="K11" s="7" t="n"/>
    </row>
    <row r="12" ht="18" customHeight="1" s="90">
      <c r="A12" s="41" t="inlineStr">
        <is>
          <t>Saída Profissional:</t>
        </is>
      </c>
      <c r="D12" s="95" t="inlineStr">
        <is>
          <t>Técnico de Gestão e Programação de Sistemas Informáticos</t>
        </is>
      </c>
      <c r="E12" s="95" t="n"/>
      <c r="F12" s="95" t="n"/>
      <c r="G12" s="95" t="n"/>
      <c r="H12" s="95" t="n"/>
      <c r="I12" s="95" t="n"/>
      <c r="J12" s="95" t="n"/>
      <c r="K12" s="7" t="n"/>
    </row>
    <row r="13" ht="7.5" customHeight="1" s="90">
      <c r="A13" s="3" t="n"/>
    </row>
    <row r="14" ht="15" customHeight="1" s="90">
      <c r="A14" s="40" t="inlineStr">
        <is>
          <t>A – Desenvolvimento do Projeto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1" t="n"/>
    </row>
    <row r="15" ht="15" customHeight="1" s="90">
      <c r="A15" s="36" t="inlineStr">
        <is>
          <t>Cotação máxima</t>
        </is>
      </c>
      <c r="B15" s="31" t="n"/>
      <c r="C15" s="36" t="inlineStr">
        <is>
          <t>Itens avaliados</t>
        </is>
      </c>
      <c r="D15" s="33" t="n"/>
      <c r="E15" s="33" t="n"/>
      <c r="F15" s="33" t="n"/>
      <c r="G15" s="33" t="n"/>
      <c r="H15" s="33" t="n"/>
      <c r="I15" s="31" t="n"/>
      <c r="J15" s="36" t="inlineStr">
        <is>
          <t>Cotação atribuída</t>
        </is>
      </c>
      <c r="K15" s="31" t="n"/>
    </row>
    <row r="16" ht="12.75" customHeight="1" s="90">
      <c r="A16" s="36" t="n">
        <v>100</v>
      </c>
      <c r="B16" s="45" t="n"/>
      <c r="C16" s="32" t="inlineStr">
        <is>
          <t>Definição dos objetivos do projeto</t>
        </is>
      </c>
      <c r="D16" s="33" t="n"/>
      <c r="E16" s="33" t="n"/>
      <c r="F16" s="33" t="n"/>
      <c r="G16" s="33" t="n"/>
      <c r="H16" s="33" t="n"/>
      <c r="I16" s="31" t="n"/>
      <c r="J16" s="51">
        <f>'Avaliação'!AB22*5</f>
        <v/>
      </c>
      <c r="K16" s="52" t="n"/>
    </row>
    <row r="17" ht="12.75" customHeight="1" s="90">
      <c r="A17" s="46" t="n"/>
      <c r="B17" s="47" t="n"/>
      <c r="C17" s="32" t="inlineStr">
        <is>
          <t>Qualidade científica e técnica</t>
        </is>
      </c>
      <c r="D17" s="33" t="n"/>
      <c r="E17" s="33" t="n"/>
      <c r="F17" s="33" t="n"/>
      <c r="G17" s="33" t="n"/>
      <c r="H17" s="33" t="n"/>
      <c r="I17" s="31" t="n"/>
      <c r="J17" s="53" t="n"/>
      <c r="K17" s="54" t="n"/>
    </row>
    <row r="18" ht="12.75" customHeight="1" s="90">
      <c r="A18" s="46" t="n"/>
      <c r="B18" s="47" t="n"/>
      <c r="C18" s="32" t="inlineStr">
        <is>
          <t>Pertinência, criatividade e inovação</t>
        </is>
      </c>
      <c r="D18" s="33" t="n"/>
      <c r="E18" s="33" t="n"/>
      <c r="F18" s="33" t="n"/>
      <c r="G18" s="33" t="n"/>
      <c r="H18" s="33" t="n"/>
      <c r="I18" s="31" t="n"/>
      <c r="J18" s="53" t="n"/>
      <c r="K18" s="54" t="n"/>
      <c r="M18" s="10" t="n"/>
    </row>
    <row r="19" ht="12.75" customHeight="1" s="90">
      <c r="A19" s="46" t="n"/>
      <c r="B19" s="47" t="n"/>
      <c r="C19" s="32" t="inlineStr">
        <is>
          <t>Planeamento dos recursos necessários</t>
        </is>
      </c>
      <c r="D19" s="33" t="n"/>
      <c r="E19" s="33" t="n"/>
      <c r="F19" s="33" t="n"/>
      <c r="G19" s="33" t="n"/>
      <c r="H19" s="33" t="n"/>
      <c r="I19" s="31" t="n"/>
      <c r="J19" s="53" t="n"/>
      <c r="K19" s="54" t="n"/>
    </row>
    <row r="20" ht="12.75" customHeight="1" s="90">
      <c r="A20" s="46" t="n"/>
      <c r="B20" s="47" t="n"/>
      <c r="C20" s="32" t="inlineStr">
        <is>
          <t>Definição das fases de execução do projeto</t>
        </is>
      </c>
      <c r="D20" s="33" t="n"/>
      <c r="E20" s="33" t="n"/>
      <c r="F20" s="33" t="n"/>
      <c r="G20" s="33" t="n"/>
      <c r="H20" s="33" t="n"/>
      <c r="I20" s="31" t="n"/>
      <c r="J20" s="53" t="n"/>
      <c r="K20" s="54" t="n"/>
    </row>
    <row r="21" ht="12.75" customHeight="1" s="90">
      <c r="A21" s="46" t="n"/>
      <c r="B21" s="47" t="n"/>
      <c r="C21" s="32" t="inlineStr">
        <is>
          <t>Autonomia</t>
        </is>
      </c>
      <c r="D21" s="33" t="n"/>
      <c r="E21" s="33" t="n"/>
      <c r="F21" s="33" t="n"/>
      <c r="G21" s="33" t="n"/>
      <c r="H21" s="33" t="n"/>
      <c r="I21" s="31" t="n"/>
      <c r="J21" s="53" t="n"/>
      <c r="K21" s="54" t="n"/>
    </row>
    <row r="22" ht="12.75" customHeight="1" s="90">
      <c r="A22" s="48" t="n"/>
      <c r="B22" s="49" t="n"/>
      <c r="C22" s="32" t="inlineStr">
        <is>
          <t>Sentido de responsabilidade e gestão do tempo</t>
        </is>
      </c>
      <c r="D22" s="33" t="n"/>
      <c r="E22" s="33" t="n"/>
      <c r="F22" s="33" t="n"/>
      <c r="G22" s="33" t="n"/>
      <c r="H22" s="33" t="n"/>
      <c r="I22" s="31" t="n"/>
      <c r="J22" s="55" t="n"/>
      <c r="K22" s="56" t="n"/>
    </row>
    <row r="23" ht="7.5" customHeight="1" s="90">
      <c r="A23" s="4" t="n"/>
    </row>
    <row r="24" ht="15" customHeight="1" s="90">
      <c r="A24" s="40" t="inlineStr">
        <is>
          <t>B – Relatório final</t>
        </is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1" t="n"/>
    </row>
    <row r="25" ht="15" customHeight="1" s="90">
      <c r="A25" s="36" t="inlineStr">
        <is>
          <t>Cotação máxima</t>
        </is>
      </c>
      <c r="B25" s="31" t="n"/>
      <c r="C25" s="36" t="inlineStr">
        <is>
          <t>Itens avaliados</t>
        </is>
      </c>
      <c r="D25" s="33" t="n"/>
      <c r="E25" s="33" t="n"/>
      <c r="F25" s="33" t="n"/>
      <c r="G25" s="33" t="n"/>
      <c r="H25" s="33" t="n"/>
      <c r="I25" s="31" t="n"/>
      <c r="J25" s="36" t="inlineStr">
        <is>
          <t>Cotação atribuída</t>
        </is>
      </c>
      <c r="K25" s="31" t="n"/>
    </row>
    <row r="26" ht="12.75" customHeight="1" s="90">
      <c r="A26" s="36" t="n">
        <v>40</v>
      </c>
      <c r="B26" s="45" t="n"/>
      <c r="C26" s="32" t="inlineStr">
        <is>
          <t>Objetividade</t>
        </is>
      </c>
      <c r="D26" s="33" t="n"/>
      <c r="E26" s="33" t="n"/>
      <c r="F26" s="33" t="n"/>
      <c r="G26" s="33" t="n"/>
      <c r="H26" s="33" t="n"/>
      <c r="I26" s="31" t="n"/>
      <c r="J26" s="51">
        <f>'Avaliação'!AB29*2</f>
        <v/>
      </c>
      <c r="K26" s="52" t="n"/>
    </row>
    <row r="27" ht="12.75" customHeight="1" s="90">
      <c r="A27" s="46" t="n"/>
      <c r="B27" s="47" t="n"/>
      <c r="C27" s="32" t="inlineStr">
        <is>
          <t>Pertinência das informações</t>
        </is>
      </c>
      <c r="D27" s="33" t="n"/>
      <c r="E27" s="33" t="n"/>
      <c r="F27" s="33" t="n"/>
      <c r="G27" s="33" t="n"/>
      <c r="H27" s="33" t="n"/>
      <c r="I27" s="31" t="n"/>
      <c r="J27" s="53" t="n"/>
      <c r="K27" s="54" t="n"/>
      <c r="M27" s="10" t="n"/>
    </row>
    <row r="28" ht="12.75" customHeight="1" s="90">
      <c r="A28" s="46" t="n"/>
      <c r="B28" s="47" t="n"/>
      <c r="C28" s="32" t="inlineStr">
        <is>
          <t>Identificação das dificuldades e meios de as superar</t>
        </is>
      </c>
      <c r="D28" s="33" t="n"/>
      <c r="E28" s="33" t="n"/>
      <c r="F28" s="33" t="n"/>
      <c r="G28" s="33" t="n"/>
      <c r="H28" s="33" t="n"/>
      <c r="I28" s="31" t="n"/>
      <c r="J28" s="53" t="n"/>
      <c r="K28" s="54" t="n"/>
    </row>
    <row r="29" ht="12.75" customHeight="1" s="90">
      <c r="A29" s="46" t="n"/>
      <c r="B29" s="47" t="n"/>
      <c r="C29" s="32" t="inlineStr">
        <is>
          <t>Capacidade de análise crítica</t>
        </is>
      </c>
      <c r="D29" s="33" t="n"/>
      <c r="E29" s="33" t="n"/>
      <c r="F29" s="33" t="n"/>
      <c r="G29" s="33" t="n"/>
      <c r="H29" s="33" t="n"/>
      <c r="I29" s="31" t="n"/>
      <c r="J29" s="53" t="n"/>
      <c r="K29" s="54" t="n"/>
    </row>
    <row r="30" ht="12.75" customHeight="1" s="90">
      <c r="A30" s="48" t="n"/>
      <c r="B30" s="49" t="n"/>
      <c r="C30" s="32" t="inlineStr">
        <is>
          <t>Sentido de responsabilidade e gestão do tempo</t>
        </is>
      </c>
      <c r="D30" s="33" t="n"/>
      <c r="E30" s="33" t="n"/>
      <c r="F30" s="33" t="n"/>
      <c r="G30" s="33" t="n"/>
      <c r="H30" s="33" t="n"/>
      <c r="I30" s="31" t="n"/>
      <c r="J30" s="55" t="n"/>
      <c r="K30" s="56" t="n"/>
    </row>
    <row r="31" ht="7.5" customHeight="1" s="90">
      <c r="A31" s="4" t="n"/>
    </row>
    <row r="32" ht="15" customHeight="1" s="90">
      <c r="A32" s="40" t="inlineStr">
        <is>
          <t>C – Apresentação e Defesa do Projecto</t>
        </is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1" t="n"/>
    </row>
    <row r="33" ht="15" customHeight="1" s="90">
      <c r="A33" s="36" t="inlineStr">
        <is>
          <t>Cotação máxima</t>
        </is>
      </c>
      <c r="B33" s="31" t="n"/>
      <c r="C33" s="36" t="inlineStr">
        <is>
          <t>Itens avaliados</t>
        </is>
      </c>
      <c r="D33" s="33" t="n"/>
      <c r="E33" s="33" t="n"/>
      <c r="F33" s="33" t="n"/>
      <c r="G33" s="33" t="n"/>
      <c r="H33" s="33" t="n"/>
      <c r="I33" s="31" t="n"/>
      <c r="J33" s="36" t="inlineStr">
        <is>
          <t>Cotação atribuída</t>
        </is>
      </c>
      <c r="K33" s="31" t="n"/>
    </row>
    <row r="34" ht="12.75" customHeight="1" s="90">
      <c r="A34" s="36" t="n">
        <v>60</v>
      </c>
      <c r="B34" s="45" t="n"/>
      <c r="C34" s="32" t="inlineStr">
        <is>
          <t xml:space="preserve">Capacidade de expressão oral e de expressão corporal </t>
        </is>
      </c>
      <c r="D34" s="33" t="n"/>
      <c r="E34" s="33" t="n"/>
      <c r="F34" s="33" t="n"/>
      <c r="G34" s="33" t="n"/>
      <c r="H34" s="33" t="n"/>
      <c r="I34" s="31" t="n"/>
      <c r="J34" s="51">
        <f>'Avaliação'!AB35*3</f>
        <v/>
      </c>
      <c r="K34" s="52" t="n"/>
    </row>
    <row r="35" ht="12.75" customHeight="1" s="90">
      <c r="A35" s="46" t="n"/>
      <c r="B35" s="47" t="n"/>
      <c r="C35" s="32" t="inlineStr">
        <is>
          <t>Capacidade de síntese</t>
        </is>
      </c>
      <c r="D35" s="33" t="n"/>
      <c r="E35" s="33" t="n"/>
      <c r="F35" s="33" t="n"/>
      <c r="G35" s="33" t="n"/>
      <c r="H35" s="33" t="n"/>
      <c r="I35" s="31" t="n"/>
      <c r="J35" s="53" t="n"/>
      <c r="K35" s="54" t="n"/>
    </row>
    <row r="36" ht="12.75" customHeight="1" s="90">
      <c r="A36" s="46" t="n"/>
      <c r="B36" s="47" t="n"/>
      <c r="C36" s="32" t="inlineStr">
        <is>
          <t>Qualidade dos recursos/estratégias utilizadas na apresentação</t>
        </is>
      </c>
      <c r="D36" s="33" t="n"/>
      <c r="E36" s="33" t="n"/>
      <c r="F36" s="33" t="n"/>
      <c r="G36" s="33" t="n"/>
      <c r="H36" s="33" t="n"/>
      <c r="I36" s="31" t="n"/>
      <c r="J36" s="53" t="n"/>
      <c r="K36" s="54" t="n"/>
      <c r="M36" s="10" t="n"/>
    </row>
    <row r="37" ht="12.75" customHeight="1" s="90">
      <c r="A37" s="48" t="n"/>
      <c r="B37" s="49" t="n"/>
      <c r="C37" s="32" t="inlineStr">
        <is>
          <t>Qualidade de argumentação na defesa do projeto</t>
        </is>
      </c>
      <c r="D37" s="33" t="n"/>
      <c r="E37" s="33" t="n"/>
      <c r="F37" s="33" t="n"/>
      <c r="G37" s="33" t="n"/>
      <c r="H37" s="33" t="n"/>
      <c r="I37" s="31" t="n"/>
      <c r="J37" s="55" t="n"/>
      <c r="K37" s="56" t="n"/>
    </row>
    <row r="38" ht="7.5" customHeight="1" s="90">
      <c r="A38" s="6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 ht="19.5" customHeight="1" s="90">
      <c r="A39" s="39">
        <f>SUM(A16,A26,A34)</f>
        <v/>
      </c>
      <c r="B39" s="31" t="n"/>
      <c r="C39" s="39" t="inlineStr">
        <is>
          <t>Avaliação Final</t>
        </is>
      </c>
      <c r="D39" s="33" t="n"/>
      <c r="E39" s="33" t="n"/>
      <c r="F39" s="33" t="n"/>
      <c r="G39" s="33" t="n"/>
      <c r="H39" s="33" t="n"/>
      <c r="I39" s="31" t="n"/>
      <c r="J39" s="30">
        <f>ROUND(SUM(J16,J26,J34),0)</f>
        <v/>
      </c>
      <c r="K39" s="31" t="n"/>
    </row>
    <row r="40" ht="7.5" customHeight="1" s="90">
      <c r="A40" s="4" t="n"/>
    </row>
    <row r="41" ht="12.75" customHeight="1" s="90">
      <c r="A41" s="40" t="inlineStr">
        <is>
          <t>Observações:</t>
        </is>
      </c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1" t="n"/>
    </row>
    <row r="42" ht="12.75" customHeight="1" s="90">
      <c r="A42" s="58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2" t="n"/>
    </row>
    <row r="43" ht="12.75" customHeight="1" s="90">
      <c r="A43" s="53" t="n"/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54" t="n"/>
    </row>
    <row r="44" ht="12.75" customHeight="1" s="90">
      <c r="A44" s="53" t="n"/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54" t="n"/>
    </row>
    <row r="45" ht="12.75" customHeight="1" s="90">
      <c r="A45" s="53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54" t="n"/>
    </row>
    <row r="46" ht="12.75" customHeight="1" s="90">
      <c r="A46" s="55" t="n"/>
      <c r="B46" s="60" t="n"/>
      <c r="C46" s="60" t="n"/>
      <c r="D46" s="60" t="n"/>
      <c r="E46" s="60" t="n"/>
      <c r="F46" s="60" t="n"/>
      <c r="G46" s="60" t="n"/>
      <c r="H46" s="60" t="n"/>
      <c r="I46" s="60" t="n"/>
      <c r="J46" s="60" t="n"/>
      <c r="K46" s="56" t="n"/>
    </row>
    <row r="47" ht="7.5" customHeight="1" s="90">
      <c r="A47" s="5" t="n"/>
    </row>
    <row r="48" ht="12.75" customHeight="1" s="90">
      <c r="B48" s="5" t="n"/>
      <c r="C48" s="44" t="inlineStr">
        <is>
          <t xml:space="preserve">Caldas da Rainha, </t>
        </is>
      </c>
      <c r="F48" s="5" t="n"/>
      <c r="G48" s="61">
        <f>NOW()</f>
        <v/>
      </c>
      <c r="J48" s="5" t="n"/>
      <c r="K48" s="5" t="n"/>
    </row>
    <row r="49" ht="7.5" customHeight="1" s="90">
      <c r="A49" s="5" t="n"/>
    </row>
    <row r="50" ht="12.75" customHeight="1" s="90">
      <c r="A50" s="5" t="n"/>
      <c r="E50" s="50" t="inlineStr">
        <is>
          <t>O Júri da Prova</t>
        </is>
      </c>
    </row>
    <row r="51" ht="7.5" customHeight="1" s="90">
      <c r="A51" s="5" t="n"/>
    </row>
    <row r="52" ht="12.75" customHeight="1" s="90">
      <c r="A52" s="35" t="inlineStr">
        <is>
          <t>Qualidade em que está nomeado</t>
        </is>
      </c>
      <c r="B52" s="33" t="n"/>
      <c r="C52" s="33" t="n"/>
      <c r="D52" s="33" t="n"/>
      <c r="E52" s="31" t="n"/>
      <c r="G52" s="35" t="inlineStr">
        <is>
          <t>Assinatura</t>
        </is>
      </c>
      <c r="H52" s="33" t="n"/>
      <c r="I52" s="33" t="n"/>
      <c r="J52" s="33" t="n"/>
      <c r="K52" s="31" t="n"/>
    </row>
    <row r="53" ht="22.5" customHeight="1" s="90">
      <c r="A53" s="32" t="inlineStr">
        <is>
          <t>Presidente do Júri</t>
        </is>
      </c>
      <c r="B53" s="33" t="n"/>
      <c r="C53" s="33" t="n"/>
      <c r="D53" s="33" t="n"/>
      <c r="E53" s="31" t="n"/>
      <c r="G53" s="34" t="n"/>
      <c r="H53" s="33" t="n"/>
      <c r="I53" s="33" t="n"/>
      <c r="J53" s="33" t="n"/>
      <c r="K53" s="31" t="n"/>
    </row>
    <row r="54" ht="22.5" customHeight="1" s="90">
      <c r="A54" s="32" t="inlineStr">
        <is>
          <t>Professor Orientador do Projeto</t>
        </is>
      </c>
      <c r="B54" s="33" t="n"/>
      <c r="C54" s="33" t="n"/>
      <c r="D54" s="33" t="n"/>
      <c r="E54" s="31" t="n"/>
      <c r="G54" s="34" t="n"/>
      <c r="H54" s="33" t="n"/>
      <c r="I54" s="33" t="n"/>
      <c r="J54" s="33" t="n"/>
      <c r="K54" s="31" t="n"/>
    </row>
    <row r="55" ht="22.5" customHeight="1" s="90">
      <c r="A55" s="32" t="inlineStr">
        <is>
          <t>Representante das Associações Empresariais</t>
        </is>
      </c>
      <c r="B55" s="33" t="n"/>
      <c r="C55" s="33" t="n"/>
      <c r="D55" s="33" t="n"/>
      <c r="E55" s="31" t="n"/>
      <c r="G55" s="34" t="n"/>
      <c r="H55" s="33" t="n"/>
      <c r="I55" s="33" t="n"/>
      <c r="J55" s="33" t="n"/>
      <c r="K55" s="31" t="n"/>
    </row>
    <row r="56" ht="22.5" customHeight="1" s="90">
      <c r="A56" s="32" t="inlineStr">
        <is>
          <t>Personalidade de reconhecido mérito</t>
        </is>
      </c>
      <c r="B56" s="33" t="n"/>
      <c r="C56" s="33" t="n"/>
      <c r="D56" s="33" t="n"/>
      <c r="E56" s="31" t="n"/>
      <c r="G56" s="34" t="n"/>
      <c r="H56" s="33" t="n"/>
      <c r="I56" s="33" t="n"/>
      <c r="J56" s="33" t="n"/>
      <c r="K56" s="31" t="n"/>
    </row>
  </sheetData>
  <mergeCells count="60">
    <mergeCell ref="J39:K39"/>
    <mergeCell ref="C36:I36"/>
    <mergeCell ref="G56:K56"/>
    <mergeCell ref="G52:K52"/>
    <mergeCell ref="A15:B15"/>
    <mergeCell ref="D9:J9"/>
    <mergeCell ref="C17:I17"/>
    <mergeCell ref="C39:I39"/>
    <mergeCell ref="D8:J8"/>
    <mergeCell ref="A24:K24"/>
    <mergeCell ref="A12:C12"/>
    <mergeCell ref="C19:I19"/>
    <mergeCell ref="C37:I37"/>
    <mergeCell ref="A6:K6"/>
    <mergeCell ref="C28:I28"/>
    <mergeCell ref="C18:I18"/>
    <mergeCell ref="A25:B25"/>
    <mergeCell ref="A54:E54"/>
    <mergeCell ref="A8:C8"/>
    <mergeCell ref="J15:K15"/>
    <mergeCell ref="A41:K41"/>
    <mergeCell ref="C34:I34"/>
    <mergeCell ref="C48:E48"/>
    <mergeCell ref="C30:I30"/>
    <mergeCell ref="G53:K53"/>
    <mergeCell ref="C15:I15"/>
    <mergeCell ref="C33:I33"/>
    <mergeCell ref="A56:E56"/>
    <mergeCell ref="A10:C10"/>
    <mergeCell ref="A55:E55"/>
    <mergeCell ref="A34:B37"/>
    <mergeCell ref="C26:I26"/>
    <mergeCell ref="A33:B33"/>
    <mergeCell ref="C35:I35"/>
    <mergeCell ref="J25:K25"/>
    <mergeCell ref="C20:I20"/>
    <mergeCell ref="E50:G50"/>
    <mergeCell ref="C29:I29"/>
    <mergeCell ref="C16:I16"/>
    <mergeCell ref="A32:K32"/>
    <mergeCell ref="A14:K14"/>
    <mergeCell ref="J26:K30"/>
    <mergeCell ref="C25:I25"/>
    <mergeCell ref="G55:K55"/>
    <mergeCell ref="A16:B22"/>
    <mergeCell ref="A53:E53"/>
    <mergeCell ref="C22:I22"/>
    <mergeCell ref="A11:C11"/>
    <mergeCell ref="A4:K4"/>
    <mergeCell ref="A52:E52"/>
    <mergeCell ref="J16:K22"/>
    <mergeCell ref="C21:I21"/>
    <mergeCell ref="J34:K37"/>
    <mergeCell ref="A26:B30"/>
    <mergeCell ref="A42:K46"/>
    <mergeCell ref="J33:K33"/>
    <mergeCell ref="G54:K54"/>
    <mergeCell ref="G48:I48"/>
    <mergeCell ref="C27:I27"/>
    <mergeCell ref="A39:B39"/>
  </mergeCells>
  <dataValidations count="3">
    <dataValidation sqref="D10" showDropDown="0" showInputMessage="0" showErrorMessage="0" allowBlank="1" errorTitle="Valor inválido" error="Seleccione um valor da lista." type="list">
      <formula1>='Auxiliar'!$B$6:$B$8</formula1>
    </dataValidation>
    <dataValidation sqref="D12" showDropDown="0" showInputMessage="0" showErrorMessage="0" allowBlank="1" errorTitle="Valor inválido" error="Seleccione um valor da lista." type="list">
      <formula1>='Auxiliar'!$D$6:$D$8</formula1>
    </dataValidation>
    <dataValidation sqref="D11" showDropDown="0" showInputMessage="0" showErrorMessage="0" allowBlank="1" errorTitle="Valor inválido" error="Seleccione um valor da lista." type="list">
      <formula1>='Auxiliar'!$B$16:$B$18</formula1>
    </dataValidation>
  </dataValidations>
  <printOptions horizontalCentered="1"/>
  <pageMargins left="0.984251968503937" right="0.5905511811023623" top="0.5905511811023623" bottom="0.5905511811023623" header="0" footer="0"/>
  <pageSetup orientation="portrait" paperSize="9" scale="9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2:M56"/>
  <sheetViews>
    <sheetView zoomScale="150" zoomScaleNormal="150" workbookViewId="0">
      <selection activeCell="B57" sqref="B57"/>
    </sheetView>
  </sheetViews>
  <sheetFormatPr baseColWidth="8" defaultColWidth="9.140625" defaultRowHeight="12.75" customHeight="1"/>
  <cols>
    <col width="8.5703125" customWidth="1" style="42" min="1" max="5"/>
    <col width="2" customWidth="1" style="42" min="6" max="6"/>
    <col width="8.5703125" customWidth="1" style="42" min="7" max="11"/>
    <col width="9.140625" customWidth="1" style="42" min="12" max="16"/>
    <col width="9.140625" customWidth="1" style="42" min="17" max="16384"/>
  </cols>
  <sheetData>
    <row r="2" ht="16.9" customHeight="1" s="90">
      <c r="B2" s="9" t="n"/>
      <c r="C2" s="9" t="n"/>
      <c r="D2" s="9" t="inlineStr">
        <is>
          <t>Agrupamento de Escolas Raul Proença</t>
        </is>
      </c>
      <c r="E2" s="9" t="n"/>
      <c r="F2" s="9" t="n"/>
      <c r="G2" s="9" t="n"/>
      <c r="H2" s="9" t="n"/>
      <c r="I2" s="9" t="n"/>
      <c r="J2" s="9" t="n"/>
      <c r="K2" s="9" t="n"/>
    </row>
    <row r="4" ht="15" customHeight="1" s="90">
      <c r="A4" s="57" t="inlineStr">
        <is>
          <t>Ano letivo 2025/2026</t>
        </is>
      </c>
    </row>
    <row r="5" ht="7.5" customHeight="1" s="90">
      <c r="A5" s="2" t="n"/>
    </row>
    <row r="6" ht="15" customHeight="1" s="90">
      <c r="A6" s="43" t="inlineStr">
        <is>
          <t>Ata de Avaliação da Prova de Aptidão Profissional</t>
        </is>
      </c>
    </row>
    <row r="7" ht="12.75" customHeight="1" s="90">
      <c r="A7" s="3" t="n"/>
    </row>
    <row r="8" ht="12.75" customHeight="1" s="90">
      <c r="A8" s="41" t="inlineStr">
        <is>
          <t>Aluno:</t>
        </is>
      </c>
      <c r="D8" s="96" t="inlineStr">
        <is>
          <t>Vasco Pimentel Vila</t>
        </is>
      </c>
      <c r="E8" s="38" t="n"/>
      <c r="F8" s="38" t="n"/>
      <c r="G8" s="38" t="n"/>
      <c r="H8" s="38" t="n"/>
      <c r="I8" s="38" t="n"/>
      <c r="J8" s="38" t="n"/>
      <c r="K8" s="7" t="n"/>
    </row>
    <row r="9" ht="12.75" customHeight="1" s="90">
      <c r="A9" s="41" t="n"/>
      <c r="B9" s="41" t="n"/>
      <c r="C9" s="41" t="inlineStr">
        <is>
          <t>Tema:</t>
        </is>
      </c>
      <c r="D9" s="96" t="inlineStr">
        <is>
          <t>Sentinela Vermelha - Sistema Inteligente de Deteção e Registo de Infrações ao Sinal Vermelho</t>
        </is>
      </c>
      <c r="E9" s="38" t="n"/>
      <c r="F9" s="38" t="n"/>
      <c r="G9" s="38" t="n"/>
      <c r="H9" s="38" t="n"/>
      <c r="I9" s="38" t="n"/>
      <c r="J9" s="38" t="n"/>
      <c r="K9" s="7" t="n"/>
    </row>
    <row r="10" ht="18" customHeight="1" s="90">
      <c r="A10" s="41" t="inlineStr">
        <is>
          <t>Área de Formação:</t>
        </is>
      </c>
      <c r="D10" s="95" t="inlineStr">
        <is>
          <t>Ciências Informáticas (481)</t>
        </is>
      </c>
      <c r="E10" s="95" t="n"/>
      <c r="F10" s="95" t="n"/>
      <c r="G10" s="95" t="n"/>
      <c r="H10" s="95" t="n"/>
      <c r="I10" s="95" t="n"/>
      <c r="J10" s="95" t="n"/>
      <c r="K10" s="7" t="n"/>
    </row>
    <row r="11" ht="18.75" customHeight="1" s="90">
      <c r="A11" s="41" t="inlineStr">
        <is>
          <t>Curso Profissional:</t>
        </is>
      </c>
      <c r="D11" s="95" t="inlineStr">
        <is>
          <t>Técnico de Gestão e Programação de Sistemas Informáticos</t>
        </is>
      </c>
      <c r="E11" s="95" t="n"/>
      <c r="F11" s="95" t="n"/>
      <c r="G11" s="95" t="n"/>
      <c r="H11" s="95" t="n"/>
      <c r="I11" s="95" t="n"/>
      <c r="J11" s="95" t="n"/>
      <c r="K11" s="7" t="n"/>
    </row>
    <row r="12" ht="18" customHeight="1" s="90">
      <c r="A12" s="41" t="inlineStr">
        <is>
          <t>Saída Profissional:</t>
        </is>
      </c>
      <c r="D12" s="95" t="inlineStr">
        <is>
          <t>Técnico de Gestão e Programação de Sistemas Informáticos</t>
        </is>
      </c>
      <c r="E12" s="95" t="n"/>
      <c r="F12" s="95" t="n"/>
      <c r="G12" s="95" t="n"/>
      <c r="H12" s="95" t="n"/>
      <c r="I12" s="95" t="n"/>
      <c r="J12" s="95" t="n"/>
      <c r="K12" s="7" t="n"/>
    </row>
    <row r="13" ht="7.5" customHeight="1" s="90">
      <c r="A13" s="3" t="n"/>
    </row>
    <row r="14" ht="15" customHeight="1" s="90">
      <c r="A14" s="40" t="inlineStr">
        <is>
          <t>A – Desenvolvimento do Projeto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1" t="n"/>
    </row>
    <row r="15" ht="15" customHeight="1" s="90">
      <c r="A15" s="36" t="inlineStr">
        <is>
          <t>Cotação máxima</t>
        </is>
      </c>
      <c r="B15" s="31" t="n"/>
      <c r="C15" s="36" t="inlineStr">
        <is>
          <t>Itens avaliados</t>
        </is>
      </c>
      <c r="D15" s="33" t="n"/>
      <c r="E15" s="33" t="n"/>
      <c r="F15" s="33" t="n"/>
      <c r="G15" s="33" t="n"/>
      <c r="H15" s="33" t="n"/>
      <c r="I15" s="31" t="n"/>
      <c r="J15" s="36" t="inlineStr">
        <is>
          <t>Cotação atribuída</t>
        </is>
      </c>
      <c r="K15" s="31" t="n"/>
    </row>
    <row r="16" ht="12.75" customHeight="1" s="90">
      <c r="A16" s="36" t="n">
        <v>100</v>
      </c>
      <c r="B16" s="45" t="n"/>
      <c r="C16" s="32" t="inlineStr">
        <is>
          <t>Definição dos objetivos do projeto</t>
        </is>
      </c>
      <c r="D16" s="33" t="n"/>
      <c r="E16" s="33" t="n"/>
      <c r="F16" s="33" t="n"/>
      <c r="G16" s="33" t="n"/>
      <c r="H16" s="33" t="n"/>
      <c r="I16" s="31" t="n"/>
      <c r="J16" s="51">
        <f>'Avaliação'!AC22*5</f>
        <v/>
      </c>
      <c r="K16" s="52" t="n"/>
    </row>
    <row r="17" ht="12.75" customHeight="1" s="90">
      <c r="A17" s="46" t="n"/>
      <c r="B17" s="47" t="n"/>
      <c r="C17" s="32" t="inlineStr">
        <is>
          <t>Qualidade científica e técnica</t>
        </is>
      </c>
      <c r="D17" s="33" t="n"/>
      <c r="E17" s="33" t="n"/>
      <c r="F17" s="33" t="n"/>
      <c r="G17" s="33" t="n"/>
      <c r="H17" s="33" t="n"/>
      <c r="I17" s="31" t="n"/>
      <c r="J17" s="53" t="n"/>
      <c r="K17" s="54" t="n"/>
    </row>
    <row r="18" ht="12.75" customHeight="1" s="90">
      <c r="A18" s="46" t="n"/>
      <c r="B18" s="47" t="n"/>
      <c r="C18" s="32" t="inlineStr">
        <is>
          <t>Pertinência, criatividade e inovação</t>
        </is>
      </c>
      <c r="D18" s="33" t="n"/>
      <c r="E18" s="33" t="n"/>
      <c r="F18" s="33" t="n"/>
      <c r="G18" s="33" t="n"/>
      <c r="H18" s="33" t="n"/>
      <c r="I18" s="31" t="n"/>
      <c r="J18" s="53" t="n"/>
      <c r="K18" s="54" t="n"/>
      <c r="M18" s="10" t="n"/>
    </row>
    <row r="19" ht="12.75" customHeight="1" s="90">
      <c r="A19" s="46" t="n"/>
      <c r="B19" s="47" t="n"/>
      <c r="C19" s="32" t="inlineStr">
        <is>
          <t>Planeamento dos recursos necessários</t>
        </is>
      </c>
      <c r="D19" s="33" t="n"/>
      <c r="E19" s="33" t="n"/>
      <c r="F19" s="33" t="n"/>
      <c r="G19" s="33" t="n"/>
      <c r="H19" s="33" t="n"/>
      <c r="I19" s="31" t="n"/>
      <c r="J19" s="53" t="n"/>
      <c r="K19" s="54" t="n"/>
    </row>
    <row r="20" ht="12.75" customHeight="1" s="90">
      <c r="A20" s="46" t="n"/>
      <c r="B20" s="47" t="n"/>
      <c r="C20" s="32" t="inlineStr">
        <is>
          <t>Definição das fases de execução do projeto</t>
        </is>
      </c>
      <c r="D20" s="33" t="n"/>
      <c r="E20" s="33" t="n"/>
      <c r="F20" s="33" t="n"/>
      <c r="G20" s="33" t="n"/>
      <c r="H20" s="33" t="n"/>
      <c r="I20" s="31" t="n"/>
      <c r="J20" s="53" t="n"/>
      <c r="K20" s="54" t="n"/>
    </row>
    <row r="21" ht="12.75" customHeight="1" s="90">
      <c r="A21" s="46" t="n"/>
      <c r="B21" s="47" t="n"/>
      <c r="C21" s="32" t="inlineStr">
        <is>
          <t>Autonomia</t>
        </is>
      </c>
      <c r="D21" s="33" t="n"/>
      <c r="E21" s="33" t="n"/>
      <c r="F21" s="33" t="n"/>
      <c r="G21" s="33" t="n"/>
      <c r="H21" s="33" t="n"/>
      <c r="I21" s="31" t="n"/>
      <c r="J21" s="53" t="n"/>
      <c r="K21" s="54" t="n"/>
    </row>
    <row r="22" ht="12.75" customHeight="1" s="90">
      <c r="A22" s="48" t="n"/>
      <c r="B22" s="49" t="n"/>
      <c r="C22" s="32" t="inlineStr">
        <is>
          <t>Sentido de responsabilidade e gestão do tempo</t>
        </is>
      </c>
      <c r="D22" s="33" t="n"/>
      <c r="E22" s="33" t="n"/>
      <c r="F22" s="33" t="n"/>
      <c r="G22" s="33" t="n"/>
      <c r="H22" s="33" t="n"/>
      <c r="I22" s="31" t="n"/>
      <c r="J22" s="55" t="n"/>
      <c r="K22" s="56" t="n"/>
    </row>
    <row r="23" ht="7.5" customHeight="1" s="90">
      <c r="A23" s="4" t="n"/>
    </row>
    <row r="24" ht="15" customHeight="1" s="90">
      <c r="A24" s="40" t="inlineStr">
        <is>
          <t>B – Relatório final</t>
        </is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1" t="n"/>
    </row>
    <row r="25" ht="15" customHeight="1" s="90">
      <c r="A25" s="36" t="inlineStr">
        <is>
          <t>Cotação máxima</t>
        </is>
      </c>
      <c r="B25" s="31" t="n"/>
      <c r="C25" s="36" t="inlineStr">
        <is>
          <t>Itens avaliados</t>
        </is>
      </c>
      <c r="D25" s="33" t="n"/>
      <c r="E25" s="33" t="n"/>
      <c r="F25" s="33" t="n"/>
      <c r="G25" s="33" t="n"/>
      <c r="H25" s="33" t="n"/>
      <c r="I25" s="31" t="n"/>
      <c r="J25" s="36" t="inlineStr">
        <is>
          <t>Cotação atribuída</t>
        </is>
      </c>
      <c r="K25" s="31" t="n"/>
    </row>
    <row r="26" ht="12.75" customHeight="1" s="90">
      <c r="A26" s="36" t="n">
        <v>40</v>
      </c>
      <c r="B26" s="45" t="n"/>
      <c r="C26" s="32" t="inlineStr">
        <is>
          <t>Objetividade</t>
        </is>
      </c>
      <c r="D26" s="33" t="n"/>
      <c r="E26" s="33" t="n"/>
      <c r="F26" s="33" t="n"/>
      <c r="G26" s="33" t="n"/>
      <c r="H26" s="33" t="n"/>
      <c r="I26" s="31" t="n"/>
      <c r="J26" s="51">
        <f>'Avaliação'!AC29*2</f>
        <v/>
      </c>
      <c r="K26" s="52" t="n"/>
    </row>
    <row r="27" ht="12.75" customHeight="1" s="90">
      <c r="A27" s="46" t="n"/>
      <c r="B27" s="47" t="n"/>
      <c r="C27" s="32" t="inlineStr">
        <is>
          <t>Pertinência das informações</t>
        </is>
      </c>
      <c r="D27" s="33" t="n"/>
      <c r="E27" s="33" t="n"/>
      <c r="F27" s="33" t="n"/>
      <c r="G27" s="33" t="n"/>
      <c r="H27" s="33" t="n"/>
      <c r="I27" s="31" t="n"/>
      <c r="J27" s="53" t="n"/>
      <c r="K27" s="54" t="n"/>
      <c r="M27" s="10" t="n"/>
    </row>
    <row r="28" ht="12.75" customHeight="1" s="90">
      <c r="A28" s="46" t="n"/>
      <c r="B28" s="47" t="n"/>
      <c r="C28" s="32" t="inlineStr">
        <is>
          <t>Identificação das dificuldades e meios de as superar</t>
        </is>
      </c>
      <c r="D28" s="33" t="n"/>
      <c r="E28" s="33" t="n"/>
      <c r="F28" s="33" t="n"/>
      <c r="G28" s="33" t="n"/>
      <c r="H28" s="33" t="n"/>
      <c r="I28" s="31" t="n"/>
      <c r="J28" s="53" t="n"/>
      <c r="K28" s="54" t="n"/>
    </row>
    <row r="29" ht="12.75" customHeight="1" s="90">
      <c r="A29" s="46" t="n"/>
      <c r="B29" s="47" t="n"/>
      <c r="C29" s="32" t="inlineStr">
        <is>
          <t>Capacidade de análise crítica</t>
        </is>
      </c>
      <c r="D29" s="33" t="n"/>
      <c r="E29" s="33" t="n"/>
      <c r="F29" s="33" t="n"/>
      <c r="G29" s="33" t="n"/>
      <c r="H29" s="33" t="n"/>
      <c r="I29" s="31" t="n"/>
      <c r="J29" s="53" t="n"/>
      <c r="K29" s="54" t="n"/>
    </row>
    <row r="30" ht="12.75" customHeight="1" s="90">
      <c r="A30" s="48" t="n"/>
      <c r="B30" s="49" t="n"/>
      <c r="C30" s="32" t="inlineStr">
        <is>
          <t>Sentido de responsabilidade e gestão do tempo</t>
        </is>
      </c>
      <c r="D30" s="33" t="n"/>
      <c r="E30" s="33" t="n"/>
      <c r="F30" s="33" t="n"/>
      <c r="G30" s="33" t="n"/>
      <c r="H30" s="33" t="n"/>
      <c r="I30" s="31" t="n"/>
      <c r="J30" s="55" t="n"/>
      <c r="K30" s="56" t="n"/>
    </row>
    <row r="31" ht="7.5" customHeight="1" s="90">
      <c r="A31" s="4" t="n"/>
    </row>
    <row r="32" ht="15" customHeight="1" s="90">
      <c r="A32" s="40" t="inlineStr">
        <is>
          <t>C – Apresentação e Defesa do Projecto</t>
        </is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1" t="n"/>
    </row>
    <row r="33" ht="15" customHeight="1" s="90">
      <c r="A33" s="36" t="inlineStr">
        <is>
          <t>Cotação máxima</t>
        </is>
      </c>
      <c r="B33" s="31" t="n"/>
      <c r="C33" s="36" t="inlineStr">
        <is>
          <t>Itens avaliados</t>
        </is>
      </c>
      <c r="D33" s="33" t="n"/>
      <c r="E33" s="33" t="n"/>
      <c r="F33" s="33" t="n"/>
      <c r="G33" s="33" t="n"/>
      <c r="H33" s="33" t="n"/>
      <c r="I33" s="31" t="n"/>
      <c r="J33" s="36" t="inlineStr">
        <is>
          <t>Cotação atribuída</t>
        </is>
      </c>
      <c r="K33" s="31" t="n"/>
    </row>
    <row r="34" ht="12.75" customHeight="1" s="90">
      <c r="A34" s="36" t="n">
        <v>60</v>
      </c>
      <c r="B34" s="45" t="n"/>
      <c r="C34" s="32" t="inlineStr">
        <is>
          <t xml:space="preserve">Capacidade de expressão oral e de expressão corporal </t>
        </is>
      </c>
      <c r="D34" s="33" t="n"/>
      <c r="E34" s="33" t="n"/>
      <c r="F34" s="33" t="n"/>
      <c r="G34" s="33" t="n"/>
      <c r="H34" s="33" t="n"/>
      <c r="I34" s="31" t="n"/>
      <c r="J34" s="51">
        <f>'Avaliação'!AC35*3</f>
        <v/>
      </c>
      <c r="K34" s="52" t="n"/>
    </row>
    <row r="35" ht="12.75" customHeight="1" s="90">
      <c r="A35" s="46" t="n"/>
      <c r="B35" s="47" t="n"/>
      <c r="C35" s="32" t="inlineStr">
        <is>
          <t>Capacidade de síntese</t>
        </is>
      </c>
      <c r="D35" s="33" t="n"/>
      <c r="E35" s="33" t="n"/>
      <c r="F35" s="33" t="n"/>
      <c r="G35" s="33" t="n"/>
      <c r="H35" s="33" t="n"/>
      <c r="I35" s="31" t="n"/>
      <c r="J35" s="53" t="n"/>
      <c r="K35" s="54" t="n"/>
    </row>
    <row r="36" ht="12.75" customHeight="1" s="90">
      <c r="A36" s="46" t="n"/>
      <c r="B36" s="47" t="n"/>
      <c r="C36" s="32" t="inlineStr">
        <is>
          <t>Qualidade dos recursos/estratégias utilizadas na apresentação</t>
        </is>
      </c>
      <c r="D36" s="33" t="n"/>
      <c r="E36" s="33" t="n"/>
      <c r="F36" s="33" t="n"/>
      <c r="G36" s="33" t="n"/>
      <c r="H36" s="33" t="n"/>
      <c r="I36" s="31" t="n"/>
      <c r="J36" s="53" t="n"/>
      <c r="K36" s="54" t="n"/>
      <c r="M36" s="10" t="n"/>
    </row>
    <row r="37" ht="12.75" customHeight="1" s="90">
      <c r="A37" s="48" t="n"/>
      <c r="B37" s="49" t="n"/>
      <c r="C37" s="32" t="inlineStr">
        <is>
          <t>Qualidade de argumentação na defesa do projeto</t>
        </is>
      </c>
      <c r="D37" s="33" t="n"/>
      <c r="E37" s="33" t="n"/>
      <c r="F37" s="33" t="n"/>
      <c r="G37" s="33" t="n"/>
      <c r="H37" s="33" t="n"/>
      <c r="I37" s="31" t="n"/>
      <c r="J37" s="55" t="n"/>
      <c r="K37" s="56" t="n"/>
    </row>
    <row r="38" ht="7.5" customHeight="1" s="90">
      <c r="A38" s="6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 ht="19.5" customHeight="1" s="90">
      <c r="A39" s="39">
        <f>SUM(A16,A26,A34)</f>
        <v/>
      </c>
      <c r="B39" s="31" t="n"/>
      <c r="C39" s="39" t="inlineStr">
        <is>
          <t>Avaliação Final</t>
        </is>
      </c>
      <c r="D39" s="33" t="n"/>
      <c r="E39" s="33" t="n"/>
      <c r="F39" s="33" t="n"/>
      <c r="G39" s="33" t="n"/>
      <c r="H39" s="33" t="n"/>
      <c r="I39" s="31" t="n"/>
      <c r="J39" s="30">
        <f>ROUND(SUM(J16,J26,J34),0)</f>
        <v/>
      </c>
      <c r="K39" s="31" t="n"/>
    </row>
    <row r="40" ht="7.5" customHeight="1" s="90">
      <c r="A40" s="4" t="n"/>
    </row>
    <row r="41" ht="12.75" customHeight="1" s="90">
      <c r="A41" s="40" t="inlineStr">
        <is>
          <t>Observações:</t>
        </is>
      </c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1" t="n"/>
    </row>
    <row r="42" ht="12.75" customHeight="1" s="90">
      <c r="A42" s="58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2" t="n"/>
    </row>
    <row r="43" ht="12.75" customHeight="1" s="90">
      <c r="A43" s="53" t="n"/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54" t="n"/>
    </row>
    <row r="44" ht="12.75" customHeight="1" s="90">
      <c r="A44" s="53" t="n"/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54" t="n"/>
    </row>
    <row r="45" ht="12.75" customHeight="1" s="90">
      <c r="A45" s="53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54" t="n"/>
    </row>
    <row r="46" ht="12.75" customHeight="1" s="90">
      <c r="A46" s="55" t="n"/>
      <c r="B46" s="60" t="n"/>
      <c r="C46" s="60" t="n"/>
      <c r="D46" s="60" t="n"/>
      <c r="E46" s="60" t="n"/>
      <c r="F46" s="60" t="n"/>
      <c r="G46" s="60" t="n"/>
      <c r="H46" s="60" t="n"/>
      <c r="I46" s="60" t="n"/>
      <c r="J46" s="60" t="n"/>
      <c r="K46" s="56" t="n"/>
    </row>
    <row r="47" ht="7.5" customHeight="1" s="90">
      <c r="A47" s="5" t="n"/>
    </row>
    <row r="48" ht="12.75" customHeight="1" s="90">
      <c r="B48" s="5" t="n"/>
      <c r="C48" s="44" t="inlineStr">
        <is>
          <t xml:space="preserve">Caldas da Rainha, </t>
        </is>
      </c>
      <c r="F48" s="5" t="n"/>
      <c r="G48" s="61">
        <f>NOW()</f>
        <v/>
      </c>
      <c r="J48" s="5" t="n"/>
      <c r="K48" s="5" t="n"/>
    </row>
    <row r="49" ht="7.5" customHeight="1" s="90">
      <c r="A49" s="5" t="n"/>
    </row>
    <row r="50" ht="12.75" customHeight="1" s="90">
      <c r="A50" s="5" t="n"/>
      <c r="E50" s="50" t="inlineStr">
        <is>
          <t>O Júri da Prova</t>
        </is>
      </c>
    </row>
    <row r="51" ht="7.5" customHeight="1" s="90">
      <c r="A51" s="5" t="n"/>
    </row>
    <row r="52" ht="12.75" customHeight="1" s="90">
      <c r="A52" s="35" t="inlineStr">
        <is>
          <t>Qualidade em que está nomeado</t>
        </is>
      </c>
      <c r="B52" s="33" t="n"/>
      <c r="C52" s="33" t="n"/>
      <c r="D52" s="33" t="n"/>
      <c r="E52" s="31" t="n"/>
      <c r="G52" s="35" t="inlineStr">
        <is>
          <t>Assinatura</t>
        </is>
      </c>
      <c r="H52" s="33" t="n"/>
      <c r="I52" s="33" t="n"/>
      <c r="J52" s="33" t="n"/>
      <c r="K52" s="31" t="n"/>
    </row>
    <row r="53" ht="22.5" customHeight="1" s="90">
      <c r="A53" s="32" t="inlineStr">
        <is>
          <t>Presidente do Júri</t>
        </is>
      </c>
      <c r="B53" s="33" t="n"/>
      <c r="C53" s="33" t="n"/>
      <c r="D53" s="33" t="n"/>
      <c r="E53" s="31" t="n"/>
      <c r="G53" s="34" t="n"/>
      <c r="H53" s="33" t="n"/>
      <c r="I53" s="33" t="n"/>
      <c r="J53" s="33" t="n"/>
      <c r="K53" s="31" t="n"/>
    </row>
    <row r="54" ht="22.5" customHeight="1" s="90">
      <c r="A54" s="32" t="inlineStr">
        <is>
          <t>Professor Orientador do Projeto</t>
        </is>
      </c>
      <c r="B54" s="33" t="n"/>
      <c r="C54" s="33" t="n"/>
      <c r="D54" s="33" t="n"/>
      <c r="E54" s="31" t="n"/>
      <c r="G54" s="34" t="n"/>
      <c r="H54" s="33" t="n"/>
      <c r="I54" s="33" t="n"/>
      <c r="J54" s="33" t="n"/>
      <c r="K54" s="31" t="n"/>
    </row>
    <row r="55" ht="22.5" customHeight="1" s="90">
      <c r="A55" s="32" t="inlineStr">
        <is>
          <t>Representante das Associações Empresariais</t>
        </is>
      </c>
      <c r="B55" s="33" t="n"/>
      <c r="C55" s="33" t="n"/>
      <c r="D55" s="33" t="n"/>
      <c r="E55" s="31" t="n"/>
      <c r="G55" s="34" t="n"/>
      <c r="H55" s="33" t="n"/>
      <c r="I55" s="33" t="n"/>
      <c r="J55" s="33" t="n"/>
      <c r="K55" s="31" t="n"/>
    </row>
    <row r="56" ht="22.5" customHeight="1" s="90">
      <c r="A56" s="32" t="inlineStr">
        <is>
          <t>Personalidade de reconhecido mérito</t>
        </is>
      </c>
      <c r="B56" s="33" t="n"/>
      <c r="C56" s="33" t="n"/>
      <c r="D56" s="33" t="n"/>
      <c r="E56" s="31" t="n"/>
      <c r="G56" s="34" t="n"/>
      <c r="H56" s="33" t="n"/>
      <c r="I56" s="33" t="n"/>
      <c r="J56" s="33" t="n"/>
      <c r="K56" s="31" t="n"/>
    </row>
  </sheetData>
  <mergeCells count="60">
    <mergeCell ref="J39:K39"/>
    <mergeCell ref="C36:I36"/>
    <mergeCell ref="G56:K56"/>
    <mergeCell ref="G52:K52"/>
    <mergeCell ref="A15:B15"/>
    <mergeCell ref="D9:J9"/>
    <mergeCell ref="C17:I17"/>
    <mergeCell ref="C39:I39"/>
    <mergeCell ref="D8:J8"/>
    <mergeCell ref="A24:K24"/>
    <mergeCell ref="A12:C12"/>
    <mergeCell ref="C19:I19"/>
    <mergeCell ref="C37:I37"/>
    <mergeCell ref="A6:K6"/>
    <mergeCell ref="C28:I28"/>
    <mergeCell ref="C18:I18"/>
    <mergeCell ref="A25:B25"/>
    <mergeCell ref="A54:E54"/>
    <mergeCell ref="A8:C8"/>
    <mergeCell ref="J15:K15"/>
    <mergeCell ref="A41:K41"/>
    <mergeCell ref="C34:I34"/>
    <mergeCell ref="C48:E48"/>
    <mergeCell ref="C30:I30"/>
    <mergeCell ref="G53:K53"/>
    <mergeCell ref="C15:I15"/>
    <mergeCell ref="C33:I33"/>
    <mergeCell ref="A56:E56"/>
    <mergeCell ref="A10:C10"/>
    <mergeCell ref="A55:E55"/>
    <mergeCell ref="A34:B37"/>
    <mergeCell ref="C26:I26"/>
    <mergeCell ref="A33:B33"/>
    <mergeCell ref="C35:I35"/>
    <mergeCell ref="J25:K25"/>
    <mergeCell ref="C20:I20"/>
    <mergeCell ref="E50:G50"/>
    <mergeCell ref="C29:I29"/>
    <mergeCell ref="C16:I16"/>
    <mergeCell ref="A32:K32"/>
    <mergeCell ref="A14:K14"/>
    <mergeCell ref="J26:K30"/>
    <mergeCell ref="C25:I25"/>
    <mergeCell ref="G55:K55"/>
    <mergeCell ref="A16:B22"/>
    <mergeCell ref="A53:E53"/>
    <mergeCell ref="C22:I22"/>
    <mergeCell ref="A11:C11"/>
    <mergeCell ref="A4:K4"/>
    <mergeCell ref="A52:E52"/>
    <mergeCell ref="J16:K22"/>
    <mergeCell ref="C21:I21"/>
    <mergeCell ref="J34:K37"/>
    <mergeCell ref="A26:B30"/>
    <mergeCell ref="A42:K46"/>
    <mergeCell ref="J33:K33"/>
    <mergeCell ref="G54:K54"/>
    <mergeCell ref="G48:I48"/>
    <mergeCell ref="C27:I27"/>
    <mergeCell ref="A39:B39"/>
  </mergeCells>
  <dataValidations count="3">
    <dataValidation sqref="D10" showDropDown="0" showInputMessage="0" showErrorMessage="0" allowBlank="1" errorTitle="Valor inválido" error="Seleccione um valor da lista." type="list">
      <formula1>='Auxiliar'!$B$6:$B$8</formula1>
    </dataValidation>
    <dataValidation sqref="D12" showDropDown="0" showInputMessage="0" showErrorMessage="0" allowBlank="1" errorTitle="Valor inválido" error="Seleccione um valor da lista." type="list">
      <formula1>='Auxiliar'!$D$6:$D$8</formula1>
    </dataValidation>
    <dataValidation sqref="D11" showDropDown="0" showInputMessage="0" showErrorMessage="0" allowBlank="1" errorTitle="Valor inválido" error="Seleccione um valor da lista." type="list">
      <formula1>='Auxiliar'!$B$16:$B$18</formula1>
    </dataValidation>
  </dataValidations>
  <printOptions horizontalCentered="1"/>
  <pageMargins left="0.984251968503937" right="0.5905511811023623" top="0.5905511811023623" bottom="0.5905511811023623" header="0" footer="0"/>
  <pageSetup orientation="portrait" paperSize="9" scale="9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2:M56"/>
  <sheetViews>
    <sheetView zoomScale="150" zoomScaleNormal="150" workbookViewId="0">
      <selection activeCell="D8" sqref="D8:J8"/>
    </sheetView>
  </sheetViews>
  <sheetFormatPr baseColWidth="8" defaultColWidth="9.140625" defaultRowHeight="12.75" customHeight="1"/>
  <cols>
    <col width="8.5703125" customWidth="1" style="42" min="1" max="5"/>
    <col width="2" customWidth="1" style="42" min="6" max="6"/>
    <col width="8.5703125" customWidth="1" style="42" min="7" max="11"/>
    <col width="9.140625" customWidth="1" style="42" min="12" max="16"/>
    <col width="9.140625" customWidth="1" style="42" min="17" max="16384"/>
  </cols>
  <sheetData>
    <row r="2" ht="16.9" customHeight="1" s="90">
      <c r="B2" s="9" t="n"/>
      <c r="C2" s="9" t="n"/>
      <c r="D2" s="9" t="inlineStr">
        <is>
          <t>Agrupamento de Escolas Raul Proença</t>
        </is>
      </c>
      <c r="E2" s="9" t="n"/>
      <c r="F2" s="9" t="n"/>
      <c r="G2" s="9" t="n"/>
      <c r="H2" s="9" t="n"/>
      <c r="I2" s="9" t="n"/>
      <c r="J2" s="9" t="n"/>
      <c r="K2" s="9" t="n"/>
    </row>
    <row r="4" ht="15" customHeight="1" s="90">
      <c r="A4" s="57" t="inlineStr">
        <is>
          <t>Ano letivo 2025/2026</t>
        </is>
      </c>
    </row>
    <row r="5" ht="7.5" customHeight="1" s="90">
      <c r="A5" s="2" t="n"/>
    </row>
    <row r="6" ht="15" customHeight="1" s="90">
      <c r="A6" s="43" t="inlineStr">
        <is>
          <t>Ata de Avaliação da Prova de Aptidão Profissional</t>
        </is>
      </c>
    </row>
    <row r="7" ht="12.75" customHeight="1" s="90">
      <c r="A7" s="3" t="n"/>
    </row>
    <row r="8" ht="12.75" customHeight="1" s="90">
      <c r="A8" s="41" t="inlineStr">
        <is>
          <t>Aluno:</t>
        </is>
      </c>
      <c r="D8" s="96" t="inlineStr">
        <is>
          <t>Vladimiro Pankratau</t>
        </is>
      </c>
      <c r="E8" s="38" t="n"/>
      <c r="F8" s="38" t="n"/>
      <c r="G8" s="38" t="n"/>
      <c r="H8" s="38" t="n"/>
      <c r="I8" s="38" t="n"/>
      <c r="J8" s="38" t="n"/>
      <c r="K8" s="7" t="n"/>
    </row>
    <row r="9" ht="12.75" customHeight="1" s="90">
      <c r="A9" s="41" t="n"/>
      <c r="B9" s="41" t="n"/>
      <c r="C9" s="41" t="inlineStr">
        <is>
          <t>Tema:</t>
        </is>
      </c>
      <c r="D9" s="91" t="inlineStr">
        <is>
          <t>ComércioLocal - Plataforma Web de Promoção do Comércio Local das Caldas da Rainha</t>
        </is>
      </c>
      <c r="E9" s="94" t="n"/>
      <c r="F9" s="94" t="n"/>
      <c r="G9" s="94" t="n"/>
      <c r="H9" s="94" t="n"/>
      <c r="I9" s="94" t="n"/>
      <c r="J9" s="94" t="n"/>
      <c r="K9" s="7" t="n"/>
    </row>
    <row r="10" ht="18" customHeight="1" s="90">
      <c r="A10" s="41" t="inlineStr">
        <is>
          <t>Área de Formação:</t>
        </is>
      </c>
      <c r="D10" s="95" t="inlineStr">
        <is>
          <t>Ciências Informáticas (481)</t>
        </is>
      </c>
      <c r="E10" s="95" t="n"/>
      <c r="F10" s="95" t="n"/>
      <c r="G10" s="95" t="n"/>
      <c r="H10" s="95" t="n"/>
      <c r="I10" s="95" t="n"/>
      <c r="J10" s="95" t="n"/>
      <c r="K10" s="7" t="n"/>
    </row>
    <row r="11" ht="18.75" customHeight="1" s="90">
      <c r="A11" s="41" t="inlineStr">
        <is>
          <t>Curso Profissional:</t>
        </is>
      </c>
      <c r="D11" s="95" t="inlineStr">
        <is>
          <t>Técnico de Gestão e Programação de Sistemas Informáticos</t>
        </is>
      </c>
      <c r="E11" s="95" t="n"/>
      <c r="F11" s="95" t="n"/>
      <c r="G11" s="95" t="n"/>
      <c r="H11" s="95" t="n"/>
      <c r="I11" s="95" t="n"/>
      <c r="J11" s="95" t="n"/>
      <c r="K11" s="7" t="n"/>
    </row>
    <row r="12" ht="18" customHeight="1" s="90">
      <c r="A12" s="41" t="inlineStr">
        <is>
          <t>Saída Profissional:</t>
        </is>
      </c>
      <c r="D12" s="95" t="inlineStr">
        <is>
          <t>Técnico de Gestão e Programação de Sistemas Informáticos</t>
        </is>
      </c>
      <c r="E12" s="95" t="n"/>
      <c r="F12" s="95" t="n"/>
      <c r="G12" s="95" t="n"/>
      <c r="H12" s="95" t="n"/>
      <c r="I12" s="95" t="n"/>
      <c r="J12" s="95" t="n"/>
      <c r="K12" s="7" t="n"/>
    </row>
    <row r="13" ht="7.5" customHeight="1" s="90">
      <c r="A13" s="3" t="n"/>
    </row>
    <row r="14" ht="15" customHeight="1" s="90">
      <c r="A14" s="40" t="inlineStr">
        <is>
          <t>A – Desenvolvimento do Projeto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1" t="n"/>
    </row>
    <row r="15" ht="15" customHeight="1" s="90">
      <c r="A15" s="36" t="inlineStr">
        <is>
          <t>Cotação máxima</t>
        </is>
      </c>
      <c r="B15" s="31" t="n"/>
      <c r="C15" s="36" t="inlineStr">
        <is>
          <t>Itens avaliados</t>
        </is>
      </c>
      <c r="D15" s="33" t="n"/>
      <c r="E15" s="33" t="n"/>
      <c r="F15" s="33" t="n"/>
      <c r="G15" s="33" t="n"/>
      <c r="H15" s="33" t="n"/>
      <c r="I15" s="31" t="n"/>
      <c r="J15" s="36" t="inlineStr">
        <is>
          <t>Cotação atribuída</t>
        </is>
      </c>
      <c r="K15" s="31" t="n"/>
    </row>
    <row r="16" ht="12.75" customHeight="1" s="90">
      <c r="A16" s="36" t="n">
        <v>100</v>
      </c>
      <c r="B16" s="45" t="n"/>
      <c r="C16" s="32" t="inlineStr">
        <is>
          <t>Definição dos objetivos do projeto</t>
        </is>
      </c>
      <c r="D16" s="33" t="n"/>
      <c r="E16" s="33" t="n"/>
      <c r="F16" s="33" t="n"/>
      <c r="G16" s="33" t="n"/>
      <c r="H16" s="33" t="n"/>
      <c r="I16" s="31" t="n"/>
      <c r="J16" s="51">
        <f>'Avaliação'!AD22*5</f>
        <v/>
      </c>
      <c r="K16" s="52" t="n"/>
    </row>
    <row r="17" ht="12.75" customHeight="1" s="90">
      <c r="A17" s="46" t="n"/>
      <c r="B17" s="47" t="n"/>
      <c r="C17" s="32" t="inlineStr">
        <is>
          <t>Qualidade científica e técnica</t>
        </is>
      </c>
      <c r="D17" s="33" t="n"/>
      <c r="E17" s="33" t="n"/>
      <c r="F17" s="33" t="n"/>
      <c r="G17" s="33" t="n"/>
      <c r="H17" s="33" t="n"/>
      <c r="I17" s="31" t="n"/>
      <c r="J17" s="53" t="n"/>
      <c r="K17" s="54" t="n"/>
    </row>
    <row r="18" ht="12.75" customHeight="1" s="90">
      <c r="A18" s="46" t="n"/>
      <c r="B18" s="47" t="n"/>
      <c r="C18" s="32" t="inlineStr">
        <is>
          <t>Pertinência, criatividade e inovação</t>
        </is>
      </c>
      <c r="D18" s="33" t="n"/>
      <c r="E18" s="33" t="n"/>
      <c r="F18" s="33" t="n"/>
      <c r="G18" s="33" t="n"/>
      <c r="H18" s="33" t="n"/>
      <c r="I18" s="31" t="n"/>
      <c r="J18" s="53" t="n"/>
      <c r="K18" s="54" t="n"/>
      <c r="M18" s="10" t="n"/>
    </row>
    <row r="19" ht="12.75" customHeight="1" s="90">
      <c r="A19" s="46" t="n"/>
      <c r="B19" s="47" t="n"/>
      <c r="C19" s="32" t="inlineStr">
        <is>
          <t>Planeamento dos recursos necessários</t>
        </is>
      </c>
      <c r="D19" s="33" t="n"/>
      <c r="E19" s="33" t="n"/>
      <c r="F19" s="33" t="n"/>
      <c r="G19" s="33" t="n"/>
      <c r="H19" s="33" t="n"/>
      <c r="I19" s="31" t="n"/>
      <c r="J19" s="53" t="n"/>
      <c r="K19" s="54" t="n"/>
    </row>
    <row r="20" ht="12.75" customHeight="1" s="90">
      <c r="A20" s="46" t="n"/>
      <c r="B20" s="47" t="n"/>
      <c r="C20" s="32" t="inlineStr">
        <is>
          <t>Definição das fases de execução do projeto</t>
        </is>
      </c>
      <c r="D20" s="33" t="n"/>
      <c r="E20" s="33" t="n"/>
      <c r="F20" s="33" t="n"/>
      <c r="G20" s="33" t="n"/>
      <c r="H20" s="33" t="n"/>
      <c r="I20" s="31" t="n"/>
      <c r="J20" s="53" t="n"/>
      <c r="K20" s="54" t="n"/>
    </row>
    <row r="21" ht="12.75" customHeight="1" s="90">
      <c r="A21" s="46" t="n"/>
      <c r="B21" s="47" t="n"/>
      <c r="C21" s="32" t="inlineStr">
        <is>
          <t>Autonomia</t>
        </is>
      </c>
      <c r="D21" s="33" t="n"/>
      <c r="E21" s="33" t="n"/>
      <c r="F21" s="33" t="n"/>
      <c r="G21" s="33" t="n"/>
      <c r="H21" s="33" t="n"/>
      <c r="I21" s="31" t="n"/>
      <c r="J21" s="53" t="n"/>
      <c r="K21" s="54" t="n"/>
    </row>
    <row r="22" ht="12.75" customHeight="1" s="90">
      <c r="A22" s="48" t="n"/>
      <c r="B22" s="49" t="n"/>
      <c r="C22" s="32" t="inlineStr">
        <is>
          <t>Sentido de responsabilidade e gestão do tempo</t>
        </is>
      </c>
      <c r="D22" s="33" t="n"/>
      <c r="E22" s="33" t="n"/>
      <c r="F22" s="33" t="n"/>
      <c r="G22" s="33" t="n"/>
      <c r="H22" s="33" t="n"/>
      <c r="I22" s="31" t="n"/>
      <c r="J22" s="55" t="n"/>
      <c r="K22" s="56" t="n"/>
    </row>
    <row r="23" ht="7.5" customHeight="1" s="90">
      <c r="A23" s="4" t="n"/>
    </row>
    <row r="24" ht="15" customHeight="1" s="90">
      <c r="A24" s="40" t="inlineStr">
        <is>
          <t>B – Relatório final</t>
        </is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1" t="n"/>
    </row>
    <row r="25" ht="15" customHeight="1" s="90">
      <c r="A25" s="36" t="inlineStr">
        <is>
          <t>Cotação máxima</t>
        </is>
      </c>
      <c r="B25" s="31" t="n"/>
      <c r="C25" s="36" t="inlineStr">
        <is>
          <t>Itens avaliados</t>
        </is>
      </c>
      <c r="D25" s="33" t="n"/>
      <c r="E25" s="33" t="n"/>
      <c r="F25" s="33" t="n"/>
      <c r="G25" s="33" t="n"/>
      <c r="H25" s="33" t="n"/>
      <c r="I25" s="31" t="n"/>
      <c r="J25" s="36" t="inlineStr">
        <is>
          <t>Cotação atribuída</t>
        </is>
      </c>
      <c r="K25" s="31" t="n"/>
    </row>
    <row r="26" ht="12.75" customHeight="1" s="90">
      <c r="A26" s="36" t="n">
        <v>40</v>
      </c>
      <c r="B26" s="45" t="n"/>
      <c r="C26" s="32" t="inlineStr">
        <is>
          <t>Objetividade</t>
        </is>
      </c>
      <c r="D26" s="33" t="n"/>
      <c r="E26" s="33" t="n"/>
      <c r="F26" s="33" t="n"/>
      <c r="G26" s="33" t="n"/>
      <c r="H26" s="33" t="n"/>
      <c r="I26" s="31" t="n"/>
      <c r="J26" s="51">
        <f>'Avaliação'!AD29*2</f>
        <v/>
      </c>
      <c r="K26" s="52" t="n"/>
    </row>
    <row r="27" ht="12.75" customHeight="1" s="90">
      <c r="A27" s="46" t="n"/>
      <c r="B27" s="47" t="n"/>
      <c r="C27" s="32" t="inlineStr">
        <is>
          <t>Pertinência das informações</t>
        </is>
      </c>
      <c r="D27" s="33" t="n"/>
      <c r="E27" s="33" t="n"/>
      <c r="F27" s="33" t="n"/>
      <c r="G27" s="33" t="n"/>
      <c r="H27" s="33" t="n"/>
      <c r="I27" s="31" t="n"/>
      <c r="J27" s="53" t="n"/>
      <c r="K27" s="54" t="n"/>
      <c r="M27" s="10" t="n"/>
    </row>
    <row r="28" ht="12.75" customHeight="1" s="90">
      <c r="A28" s="46" t="n"/>
      <c r="B28" s="47" t="n"/>
      <c r="C28" s="32" t="inlineStr">
        <is>
          <t>Identificação das dificuldades e meios de as superar</t>
        </is>
      </c>
      <c r="D28" s="33" t="n"/>
      <c r="E28" s="33" t="n"/>
      <c r="F28" s="33" t="n"/>
      <c r="G28" s="33" t="n"/>
      <c r="H28" s="33" t="n"/>
      <c r="I28" s="31" t="n"/>
      <c r="J28" s="53" t="n"/>
      <c r="K28" s="54" t="n"/>
    </row>
    <row r="29" ht="12.75" customHeight="1" s="90">
      <c r="A29" s="46" t="n"/>
      <c r="B29" s="47" t="n"/>
      <c r="C29" s="32" t="inlineStr">
        <is>
          <t>Capacidade de análise crítica</t>
        </is>
      </c>
      <c r="D29" s="33" t="n"/>
      <c r="E29" s="33" t="n"/>
      <c r="F29" s="33" t="n"/>
      <c r="G29" s="33" t="n"/>
      <c r="H29" s="33" t="n"/>
      <c r="I29" s="31" t="n"/>
      <c r="J29" s="53" t="n"/>
      <c r="K29" s="54" t="n"/>
    </row>
    <row r="30" ht="12.75" customHeight="1" s="90">
      <c r="A30" s="48" t="n"/>
      <c r="B30" s="49" t="n"/>
      <c r="C30" s="32" t="inlineStr">
        <is>
          <t>Sentido de responsabilidade e gestão do tempo</t>
        </is>
      </c>
      <c r="D30" s="33" t="n"/>
      <c r="E30" s="33" t="n"/>
      <c r="F30" s="33" t="n"/>
      <c r="G30" s="33" t="n"/>
      <c r="H30" s="33" t="n"/>
      <c r="I30" s="31" t="n"/>
      <c r="J30" s="55" t="n"/>
      <c r="K30" s="56" t="n"/>
    </row>
    <row r="31" ht="7.5" customHeight="1" s="90">
      <c r="A31" s="4" t="n"/>
    </row>
    <row r="32" ht="15" customHeight="1" s="90">
      <c r="A32" s="40" t="inlineStr">
        <is>
          <t>C – Apresentação e Defesa do Projecto</t>
        </is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1" t="n"/>
    </row>
    <row r="33" ht="15" customHeight="1" s="90">
      <c r="A33" s="36" t="inlineStr">
        <is>
          <t>Cotação máxima</t>
        </is>
      </c>
      <c r="B33" s="31" t="n"/>
      <c r="C33" s="36" t="inlineStr">
        <is>
          <t>Itens avaliados</t>
        </is>
      </c>
      <c r="D33" s="33" t="n"/>
      <c r="E33" s="33" t="n"/>
      <c r="F33" s="33" t="n"/>
      <c r="G33" s="33" t="n"/>
      <c r="H33" s="33" t="n"/>
      <c r="I33" s="31" t="n"/>
      <c r="J33" s="36" t="inlineStr">
        <is>
          <t>Cotação atribuída</t>
        </is>
      </c>
      <c r="K33" s="31" t="n"/>
    </row>
    <row r="34" ht="12.75" customHeight="1" s="90">
      <c r="A34" s="36" t="n">
        <v>60</v>
      </c>
      <c r="B34" s="45" t="n"/>
      <c r="C34" s="32" t="inlineStr">
        <is>
          <t xml:space="preserve">Capacidade de expressão oral e de expressão corporal </t>
        </is>
      </c>
      <c r="D34" s="33" t="n"/>
      <c r="E34" s="33" t="n"/>
      <c r="F34" s="33" t="n"/>
      <c r="G34" s="33" t="n"/>
      <c r="H34" s="33" t="n"/>
      <c r="I34" s="31" t="n"/>
      <c r="J34" s="51">
        <f>'Avaliação'!AD35*3</f>
        <v/>
      </c>
      <c r="K34" s="52" t="n"/>
    </row>
    <row r="35" ht="12.75" customHeight="1" s="90">
      <c r="A35" s="46" t="n"/>
      <c r="B35" s="47" t="n"/>
      <c r="C35" s="32" t="inlineStr">
        <is>
          <t>Capacidade de síntese</t>
        </is>
      </c>
      <c r="D35" s="33" t="n"/>
      <c r="E35" s="33" t="n"/>
      <c r="F35" s="33" t="n"/>
      <c r="G35" s="33" t="n"/>
      <c r="H35" s="33" t="n"/>
      <c r="I35" s="31" t="n"/>
      <c r="J35" s="53" t="n"/>
      <c r="K35" s="54" t="n"/>
    </row>
    <row r="36" ht="12.75" customHeight="1" s="90">
      <c r="A36" s="46" t="n"/>
      <c r="B36" s="47" t="n"/>
      <c r="C36" s="32" t="inlineStr">
        <is>
          <t>Qualidade dos recursos/estratégias utilizadas na apresentação</t>
        </is>
      </c>
      <c r="D36" s="33" t="n"/>
      <c r="E36" s="33" t="n"/>
      <c r="F36" s="33" t="n"/>
      <c r="G36" s="33" t="n"/>
      <c r="H36" s="33" t="n"/>
      <c r="I36" s="31" t="n"/>
      <c r="J36" s="53" t="n"/>
      <c r="K36" s="54" t="n"/>
      <c r="M36" s="10" t="n"/>
    </row>
    <row r="37" ht="12.75" customHeight="1" s="90">
      <c r="A37" s="48" t="n"/>
      <c r="B37" s="49" t="n"/>
      <c r="C37" s="32" t="inlineStr">
        <is>
          <t>Qualidade de argumentação na defesa do projeto</t>
        </is>
      </c>
      <c r="D37" s="33" t="n"/>
      <c r="E37" s="33" t="n"/>
      <c r="F37" s="33" t="n"/>
      <c r="G37" s="33" t="n"/>
      <c r="H37" s="33" t="n"/>
      <c r="I37" s="31" t="n"/>
      <c r="J37" s="55" t="n"/>
      <c r="K37" s="56" t="n"/>
    </row>
    <row r="38" ht="7.5" customHeight="1" s="90">
      <c r="A38" s="6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 ht="19.5" customHeight="1" s="90">
      <c r="A39" s="39">
        <f>SUM(A16,A26,A34)</f>
        <v/>
      </c>
      <c r="B39" s="31" t="n"/>
      <c r="C39" s="39" t="inlineStr">
        <is>
          <t>Avaliação Final</t>
        </is>
      </c>
      <c r="D39" s="33" t="n"/>
      <c r="E39" s="33" t="n"/>
      <c r="F39" s="33" t="n"/>
      <c r="G39" s="33" t="n"/>
      <c r="H39" s="33" t="n"/>
      <c r="I39" s="31" t="n"/>
      <c r="J39" s="30">
        <f>ROUND(SUM(J16,J26,J34),0)</f>
        <v/>
      </c>
      <c r="K39" s="31" t="n"/>
    </row>
    <row r="40" ht="7.5" customHeight="1" s="90">
      <c r="A40" s="4" t="n"/>
    </row>
    <row r="41" ht="12.75" customHeight="1" s="90">
      <c r="A41" s="40" t="inlineStr">
        <is>
          <t>Observações:</t>
        </is>
      </c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1" t="n"/>
    </row>
    <row r="42" ht="12.75" customHeight="1" s="90">
      <c r="A42" s="58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2" t="n"/>
    </row>
    <row r="43" ht="12.75" customHeight="1" s="90">
      <c r="A43" s="53" t="n"/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54" t="n"/>
    </row>
    <row r="44" ht="12.75" customHeight="1" s="90">
      <c r="A44" s="53" t="n"/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54" t="n"/>
    </row>
    <row r="45" ht="12.75" customHeight="1" s="90">
      <c r="A45" s="53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54" t="n"/>
    </row>
    <row r="46" ht="12.75" customHeight="1" s="90">
      <c r="A46" s="55" t="n"/>
      <c r="B46" s="60" t="n"/>
      <c r="C46" s="60" t="n"/>
      <c r="D46" s="60" t="n"/>
      <c r="E46" s="60" t="n"/>
      <c r="F46" s="60" t="n"/>
      <c r="G46" s="60" t="n"/>
      <c r="H46" s="60" t="n"/>
      <c r="I46" s="60" t="n"/>
      <c r="J46" s="60" t="n"/>
      <c r="K46" s="56" t="n"/>
    </row>
    <row r="47" ht="7.5" customHeight="1" s="90">
      <c r="A47" s="5" t="n"/>
    </row>
    <row r="48" ht="12.75" customHeight="1" s="90">
      <c r="B48" s="5" t="n"/>
      <c r="C48" s="44" t="inlineStr">
        <is>
          <t xml:space="preserve">Caldas da Rainha, </t>
        </is>
      </c>
      <c r="F48" s="5" t="n"/>
      <c r="G48" s="61">
        <f>NOW()</f>
        <v/>
      </c>
      <c r="J48" s="5" t="n"/>
      <c r="K48" s="5" t="n"/>
    </row>
    <row r="49" ht="7.5" customHeight="1" s="90">
      <c r="A49" s="5" t="n"/>
    </row>
    <row r="50" ht="12.75" customHeight="1" s="90">
      <c r="A50" s="5" t="n"/>
      <c r="E50" s="50" t="inlineStr">
        <is>
          <t>O Júri da Prova</t>
        </is>
      </c>
    </row>
    <row r="51" ht="7.5" customHeight="1" s="90">
      <c r="A51" s="5" t="n"/>
    </row>
    <row r="52" ht="12.75" customHeight="1" s="90">
      <c r="A52" s="35" t="inlineStr">
        <is>
          <t>Qualidade em que está nomeado</t>
        </is>
      </c>
      <c r="B52" s="33" t="n"/>
      <c r="C52" s="33" t="n"/>
      <c r="D52" s="33" t="n"/>
      <c r="E52" s="31" t="n"/>
      <c r="G52" s="35" t="inlineStr">
        <is>
          <t>Assinatura</t>
        </is>
      </c>
      <c r="H52" s="33" t="n"/>
      <c r="I52" s="33" t="n"/>
      <c r="J52" s="33" t="n"/>
      <c r="K52" s="31" t="n"/>
    </row>
    <row r="53" ht="22.5" customHeight="1" s="90">
      <c r="A53" s="32" t="inlineStr">
        <is>
          <t>Presidente do Júri</t>
        </is>
      </c>
      <c r="B53" s="33" t="n"/>
      <c r="C53" s="33" t="n"/>
      <c r="D53" s="33" t="n"/>
      <c r="E53" s="31" t="n"/>
      <c r="G53" s="34" t="n"/>
      <c r="H53" s="33" t="n"/>
      <c r="I53" s="33" t="n"/>
      <c r="J53" s="33" t="n"/>
      <c r="K53" s="31" t="n"/>
    </row>
    <row r="54" ht="22.5" customHeight="1" s="90">
      <c r="A54" s="32" t="inlineStr">
        <is>
          <t>Professor Orientador do Projeto</t>
        </is>
      </c>
      <c r="B54" s="33" t="n"/>
      <c r="C54" s="33" t="n"/>
      <c r="D54" s="33" t="n"/>
      <c r="E54" s="31" t="n"/>
      <c r="G54" s="34" t="n"/>
      <c r="H54" s="33" t="n"/>
      <c r="I54" s="33" t="n"/>
      <c r="J54" s="33" t="n"/>
      <c r="K54" s="31" t="n"/>
    </row>
    <row r="55" ht="22.5" customHeight="1" s="90">
      <c r="A55" s="32" t="inlineStr">
        <is>
          <t>Representante das Associações Empresariais</t>
        </is>
      </c>
      <c r="B55" s="33" t="n"/>
      <c r="C55" s="33" t="n"/>
      <c r="D55" s="33" t="n"/>
      <c r="E55" s="31" t="n"/>
      <c r="G55" s="34" t="n"/>
      <c r="H55" s="33" t="n"/>
      <c r="I55" s="33" t="n"/>
      <c r="J55" s="33" t="n"/>
      <c r="K55" s="31" t="n"/>
    </row>
    <row r="56" ht="22.5" customHeight="1" s="90">
      <c r="A56" s="32" t="inlineStr">
        <is>
          <t>Personalidade de reconhecido mérito</t>
        </is>
      </c>
      <c r="B56" s="33" t="n"/>
      <c r="C56" s="33" t="n"/>
      <c r="D56" s="33" t="n"/>
      <c r="E56" s="31" t="n"/>
      <c r="G56" s="34" t="n"/>
      <c r="H56" s="33" t="n"/>
      <c r="I56" s="33" t="n"/>
      <c r="J56" s="33" t="n"/>
      <c r="K56" s="31" t="n"/>
    </row>
  </sheetData>
  <mergeCells count="59">
    <mergeCell ref="J39:K39"/>
    <mergeCell ref="C36:I36"/>
    <mergeCell ref="G56:K56"/>
    <mergeCell ref="G52:K52"/>
    <mergeCell ref="A15:B15"/>
    <mergeCell ref="C17:I17"/>
    <mergeCell ref="C39:I39"/>
    <mergeCell ref="D8:J8"/>
    <mergeCell ref="A24:K24"/>
    <mergeCell ref="A12:C12"/>
    <mergeCell ref="C19:I19"/>
    <mergeCell ref="C37:I37"/>
    <mergeCell ref="A6:K6"/>
    <mergeCell ref="C28:I28"/>
    <mergeCell ref="C18:I18"/>
    <mergeCell ref="A25:B25"/>
    <mergeCell ref="A54:E54"/>
    <mergeCell ref="A8:C8"/>
    <mergeCell ref="J15:K15"/>
    <mergeCell ref="A41:K41"/>
    <mergeCell ref="C34:I34"/>
    <mergeCell ref="C48:E48"/>
    <mergeCell ref="C30:I30"/>
    <mergeCell ref="G53:K53"/>
    <mergeCell ref="C15:I15"/>
    <mergeCell ref="C33:I33"/>
    <mergeCell ref="A56:E56"/>
    <mergeCell ref="A10:C10"/>
    <mergeCell ref="A55:E55"/>
    <mergeCell ref="A34:B37"/>
    <mergeCell ref="C26:I26"/>
    <mergeCell ref="A33:B33"/>
    <mergeCell ref="C35:I35"/>
    <mergeCell ref="J25:K25"/>
    <mergeCell ref="C20:I20"/>
    <mergeCell ref="E50:G50"/>
    <mergeCell ref="C29:I29"/>
    <mergeCell ref="C16:I16"/>
    <mergeCell ref="A32:K32"/>
    <mergeCell ref="A14:K14"/>
    <mergeCell ref="C25:I25"/>
    <mergeCell ref="J26:K30"/>
    <mergeCell ref="G55:K55"/>
    <mergeCell ref="A16:B22"/>
    <mergeCell ref="A53:E53"/>
    <mergeCell ref="C22:I22"/>
    <mergeCell ref="A11:C11"/>
    <mergeCell ref="A4:K4"/>
    <mergeCell ref="A52:E52"/>
    <mergeCell ref="J16:K22"/>
    <mergeCell ref="C21:I21"/>
    <mergeCell ref="J34:K37"/>
    <mergeCell ref="A26:B30"/>
    <mergeCell ref="A42:K46"/>
    <mergeCell ref="J33:K33"/>
    <mergeCell ref="G54:K54"/>
    <mergeCell ref="G48:I48"/>
    <mergeCell ref="C27:I27"/>
    <mergeCell ref="A39:B39"/>
  </mergeCells>
  <dataValidations count="3">
    <dataValidation sqref="D10" showDropDown="0" showInputMessage="0" showErrorMessage="0" allowBlank="1" errorTitle="Valor inválido" error="Seleccione um valor da lista." type="list">
      <formula1>='Auxiliar'!$B$6:$B$8</formula1>
    </dataValidation>
    <dataValidation sqref="D12" showDropDown="0" showInputMessage="0" showErrorMessage="0" allowBlank="1" errorTitle="Valor inválido" error="Seleccione um valor da lista." type="list">
      <formula1>='Auxiliar'!$D$6:$D$8</formula1>
    </dataValidation>
    <dataValidation sqref="D11" showDropDown="0" showInputMessage="0" showErrorMessage="0" allowBlank="1" errorTitle="Valor inválido" error="Seleccione um valor da lista." type="list">
      <formula1>='Auxiliar'!$B$16:$B$18</formula1>
    </dataValidation>
  </dataValidations>
  <printOptions horizontalCentered="1"/>
  <pageMargins left="0.984251968503937" right="0.5905511811023623" top="0.5905511811023623" bottom="0.5905511811023623" header="0" footer="0"/>
  <pageSetup orientation="portrait" paperSize="9" scale="9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4:F44"/>
  <sheetViews>
    <sheetView zoomScale="175" zoomScaleNormal="175" workbookViewId="0">
      <selection activeCell="B44" sqref="B24:B44"/>
    </sheetView>
  </sheetViews>
  <sheetFormatPr baseColWidth="8" defaultRowHeight="12.75"/>
  <cols>
    <col width="52.5703125" customWidth="1" style="90" min="2" max="2"/>
    <col hidden="1" width="13" customWidth="1" style="90" min="3" max="3"/>
    <col width="97" bestFit="1" customWidth="1" style="90" min="4" max="4"/>
    <col width="52.42578125" customWidth="1" style="90" min="5" max="5"/>
  </cols>
  <sheetData>
    <row r="4">
      <c r="B4" s="89" t="inlineStr">
        <is>
          <t>Área de Formação:</t>
        </is>
      </c>
      <c r="D4" s="89" t="inlineStr">
        <is>
          <t>Curso Profissional:</t>
        </is>
      </c>
    </row>
    <row r="5">
      <c r="B5" t="inlineStr">
        <is>
          <t>__________________________________________________</t>
        </is>
      </c>
      <c r="D5" t="inlineStr">
        <is>
          <t>__________________________________________________</t>
        </is>
      </c>
    </row>
    <row r="6">
      <c r="B6" t="inlineStr">
        <is>
          <t>Trabalho Social (762)</t>
        </is>
      </c>
      <c r="D6" t="inlineStr">
        <is>
          <t>Animador Sociocultural</t>
        </is>
      </c>
    </row>
    <row r="7">
      <c r="B7" t="inlineStr">
        <is>
          <t>Audiovisuais  e Produção dos Media (213)</t>
        </is>
      </c>
      <c r="D7" t="inlineStr">
        <is>
          <t>Técnico de Desenho Digital 3D</t>
        </is>
      </c>
    </row>
    <row r="8">
      <c r="B8" t="inlineStr">
        <is>
          <t>Ciências Informáticas (481)</t>
        </is>
      </c>
      <c r="D8" t="inlineStr">
        <is>
          <t>Técnico de Gestão e Programação de Sistemas Informáticos</t>
        </is>
      </c>
    </row>
    <row r="14">
      <c r="B14" s="89" t="inlineStr">
        <is>
          <t>Saída Profissional:</t>
        </is>
      </c>
    </row>
    <row r="15">
      <c r="B15" t="inlineStr">
        <is>
          <t>__________________________________________________</t>
        </is>
      </c>
    </row>
    <row r="16">
      <c r="B16" t="inlineStr">
        <is>
          <t>Animador Sociocultural</t>
        </is>
      </c>
    </row>
    <row r="17">
      <c r="B17" t="inlineStr">
        <is>
          <t>Técnico de Desenho Digital 3D</t>
        </is>
      </c>
    </row>
    <row r="18">
      <c r="B18" t="inlineStr">
        <is>
          <t>Técnico de Gestão e Programação de Sistemas Informáticos</t>
        </is>
      </c>
    </row>
    <row r="22">
      <c r="B22" s="11" t="inlineStr">
        <is>
          <t>Alunos</t>
        </is>
      </c>
      <c r="D22" s="12" t="inlineStr">
        <is>
          <t>Temas</t>
        </is>
      </c>
    </row>
    <row r="23" ht="13.5" customHeight="1" s="90" thickBot="1"/>
    <row r="24" ht="13.5" customHeight="1" s="90" thickBot="1">
      <c r="B24" s="13" t="inlineStr">
        <is>
          <t>Adriano Ricardo David Salucombo</t>
        </is>
      </c>
      <c r="C24" s="13" t="n"/>
      <c r="D24" s="22" t="inlineStr">
        <is>
          <t>EduKids - Plataforma Interativa de Aprendizagem para Educação Infantil</t>
        </is>
      </c>
    </row>
    <row r="25" ht="13.5" customHeight="1" s="90" thickBot="1">
      <c r="B25" s="13" t="inlineStr">
        <is>
          <t>Afonso Baptista dos Santos Costa</t>
        </is>
      </c>
      <c r="C25" s="13" t="n"/>
      <c r="D25" s="22" t="inlineStr">
        <is>
          <t>GFF - Aplicação Móvel para Gestão Financeira Familiar</t>
        </is>
      </c>
    </row>
    <row r="26" ht="13.5" customHeight="1" s="90" thickBot="1">
      <c r="B26" s="13" t="inlineStr">
        <is>
          <t>Afonso Rodrigo Oliveira Matos</t>
        </is>
      </c>
      <c r="C26" s="13" t="n"/>
      <c r="D26" s="22" t="inlineStr">
        <is>
          <t>Ragnarök Kombat - Jogo de Luta 3D</t>
        </is>
      </c>
    </row>
    <row r="27" ht="13.5" customHeight="1" s="90" thickBot="1">
      <c r="B27" s="13" t="inlineStr">
        <is>
          <t>Beatriz Isabel Costa Henriques</t>
        </is>
      </c>
      <c r="C27" s="13" t="n"/>
      <c r="D27" s="22" t="inlineStr">
        <is>
          <t>DoIt - Aplicação Móvel Inteligente para Gestão de Tarefas e Projetos</t>
        </is>
      </c>
    </row>
    <row r="28" ht="13.5" customHeight="1" s="90" thickBot="1">
      <c r="B28" s="13" t="inlineStr">
        <is>
          <t>Bernardo Ângelo Santos</t>
        </is>
      </c>
      <c r="C28" s="13" t="n"/>
      <c r="D28" s="22" t="inlineStr">
        <is>
          <t>BrebasMotors - Plataforma Web para Gestão e Divulgação de uma Concessionária Automóvel</t>
        </is>
      </c>
    </row>
    <row r="29" ht="13.5" customHeight="1" s="90" thickBot="1">
      <c r="B29" s="13" t="inlineStr">
        <is>
          <t>Dinis Costa Lourenço</t>
        </is>
      </c>
      <c r="C29" s="13" t="n"/>
      <c r="D29" s="22" t="inlineStr">
        <is>
          <t>Suplfy - Plataforma de Comércio Eletrónico para Suplementação Desportiva</t>
        </is>
      </c>
    </row>
    <row r="30" ht="13.5" customHeight="1" s="90" thickBot="1">
      <c r="B30" s="13" t="inlineStr">
        <is>
          <t>Duarte Nazaré Fialho</t>
        </is>
      </c>
      <c r="C30" s="13" t="n"/>
      <c r="D30" s="22" t="inlineStr">
        <is>
          <t>SayPlay - Plataforma Educativa para Apoio ao Desenvolvimento da Fala Infantil</t>
        </is>
      </c>
    </row>
    <row r="31" ht="13.5" customHeight="1" s="90" thickBot="1">
      <c r="B31" s="13" t="inlineStr">
        <is>
          <t>Filipe Alexandre Inácio Monteiro</t>
        </is>
      </c>
      <c r="C31" s="13" t="n"/>
      <c r="D31" s="22" t="inlineStr">
        <is>
          <t>Bloodware - Jogo FPS 3D Baseado em Missões</t>
        </is>
      </c>
    </row>
    <row r="32" ht="13.5" customHeight="1" s="90" thickBot="1">
      <c r="B32" s="13" t="inlineStr">
        <is>
          <t>Francisco Luís Henriques Júnior</t>
        </is>
      </c>
      <c r="C32" s="13" t="n"/>
      <c r="D32" s="22" t="inlineStr">
        <is>
          <t>Manitou MT-928 - Miniatura Telecomandada da Manitou MT-928</t>
        </is>
      </c>
    </row>
    <row r="33" ht="13.5" customHeight="1" s="90" thickBot="1">
      <c r="B33" s="13" t="inlineStr">
        <is>
          <t>Gabriel Marinho Bispo</t>
        </is>
      </c>
      <c r="C33" s="13" t="n"/>
      <c r="D33" s="22" t="inlineStr">
        <is>
          <t>GoDeeper - Plataforma Web de Divulgação e Gestão do Grupo de Jovens da Igreja Baptista de Caldas da Rainha</t>
        </is>
      </c>
    </row>
    <row r="34" ht="13.5" customHeight="1" s="90" thickBot="1">
      <c r="B34" s="13" t="inlineStr">
        <is>
          <t>Hugo Miguel Vieira</t>
        </is>
      </c>
      <c r="C34" s="13" t="n"/>
      <c r="D34" s="22" t="inlineStr">
        <is>
          <t>BladeSlinger - Jogo FPS de Ação com Ondas de Inimigos</t>
        </is>
      </c>
    </row>
    <row r="35" ht="13.5" customHeight="1" s="90" thickBot="1">
      <c r="B35" s="13" t="inlineStr">
        <is>
          <t>Kauã Silva Lima</t>
        </is>
      </c>
      <c r="C35" s="13" t="n"/>
      <c r="D35" s="22" t="inlineStr">
        <is>
          <t>RoboRaul - Evento de Robótica para alunos do 1º ciclo (4º ano)</t>
        </is>
      </c>
    </row>
    <row r="36" ht="13.5" customHeight="1" s="90" thickBot="1">
      <c r="B36" s="13" t="inlineStr">
        <is>
          <t>Maria Serafim Sousa</t>
        </is>
      </c>
      <c r="C36" s="13" t="n"/>
      <c r="D36" s="22" t="inlineStr">
        <is>
          <t>RoboRaul - Evento de Robótica para alunos do 1º ciclo (4º ano)</t>
        </is>
      </c>
    </row>
    <row r="37" ht="13.5" customHeight="1" s="90" thickBot="1">
      <c r="B37" s="13" t="inlineStr">
        <is>
          <t>Rodrigo Manuel Timóteo Santos</t>
        </is>
      </c>
      <c r="C37" s="13" t="n"/>
      <c r="D37" s="22" t="inlineStr">
        <is>
          <t>Dragon Tower - Jogo 3D de Mundo Aberto</t>
        </is>
      </c>
    </row>
    <row r="38" ht="13.5" customHeight="1" s="90" thickBot="1">
      <c r="B38" s="13" t="inlineStr">
        <is>
          <t>Rodrigo Silva Roque</t>
        </is>
      </c>
      <c r="C38" s="13" t="n"/>
      <c r="D38" s="22" t="inlineStr">
        <is>
          <t>StocX - Plataforma Web de Gestão do Inventário da Escola</t>
        </is>
      </c>
    </row>
    <row r="39" ht="13.5" customHeight="1" s="90" thickBot="1">
      <c r="B39" s="13" t="inlineStr">
        <is>
          <t>Rui Pedro de Sousa Zina</t>
        </is>
      </c>
      <c r="C39" s="13" t="n"/>
      <c r="D39" s="22" t="inlineStr">
        <is>
          <t>Trypia - Plataforma de Pesquisa e Reserva de Viagens, Hotéis e Experiências</t>
        </is>
      </c>
    </row>
    <row r="40" ht="13.5" customHeight="1" s="90" thickBot="1">
      <c r="B40" s="13" t="inlineStr">
        <is>
          <t>Tiago Filipe da Silva</t>
        </is>
      </c>
      <c r="C40" s="13" t="n"/>
      <c r="D40" s="22" t="inlineStr">
        <is>
          <t>Job For All - Plataforma Web de Divulgação e Gestão de Ofertas de Emprego</t>
        </is>
      </c>
    </row>
    <row r="41" ht="13.5" customHeight="1" s="90" thickBot="1">
      <c r="B41" s="13" t="inlineStr">
        <is>
          <t>Tiago Miguel Santos Silva</t>
        </is>
      </c>
      <c r="C41" s="13" t="n"/>
      <c r="D41" s="22" t="inlineStr">
        <is>
          <t>H2O Analytics - Sistema Autónomo de Monitorização e Análise Georreferenciada da Qualidade da Água</t>
        </is>
      </c>
    </row>
    <row r="42" ht="13.5" customHeight="1" s="90" thickBot="1">
      <c r="B42" s="13" t="inlineStr">
        <is>
          <t>Tiago Pereira Couto</t>
        </is>
      </c>
      <c r="C42" s="13" t="n"/>
      <c r="D42" s="22" t="inlineStr">
        <is>
          <t>Footmania - Aplicação móvel para Gestão de Torneio de Futebol</t>
        </is>
      </c>
    </row>
    <row r="43" ht="13.5" customHeight="1" s="90" thickBot="1">
      <c r="B43" s="13" t="inlineStr">
        <is>
          <t>Vasco Pimentel Vila</t>
        </is>
      </c>
      <c r="C43" s="13" t="n"/>
      <c r="D43" s="22" t="inlineStr">
        <is>
          <t>Sentinela Vermelha - Sistema Inteligente de Deteção e Registo de Infrações ao Sinal Vermelho</t>
        </is>
      </c>
    </row>
    <row r="44" ht="13.5" customHeight="1" s="90" thickBot="1">
      <c r="B44" s="13" t="inlineStr">
        <is>
          <t>Vladimiro Pankratau</t>
        </is>
      </c>
      <c r="C44" s="13" t="n"/>
      <c r="D44" s="22" t="inlineStr">
        <is>
          <t>ComércioLocal - Plataforma Web de Promoção do Comércio Local das Caldas da Rainha</t>
        </is>
      </c>
    </row>
  </sheetData>
  <mergeCells count="3">
    <mergeCell ref="B14:C14"/>
    <mergeCell ref="B4:C4"/>
    <mergeCell ref="D4:F4"/>
  </mergeCells>
  <pageMargins left="0.75" right="0.75" top="1" bottom="1" header="0" footer="0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2:M56"/>
  <sheetViews>
    <sheetView topLeftCell="A4" zoomScale="150" workbookViewId="0">
      <selection activeCell="O13" sqref="O13"/>
    </sheetView>
  </sheetViews>
  <sheetFormatPr baseColWidth="8" defaultColWidth="9.140625" defaultRowHeight="12.75" customHeight="1"/>
  <cols>
    <col width="8.5703125" customWidth="1" style="42" min="1" max="5"/>
    <col width="2" customWidth="1" style="42" min="6" max="6"/>
    <col width="8.5703125" customWidth="1" style="42" min="7" max="11"/>
    <col width="9.140625" customWidth="1" style="42" min="12" max="16"/>
    <col width="9.140625" customWidth="1" style="42" min="17" max="16384"/>
  </cols>
  <sheetData>
    <row r="2" ht="16.9" customHeight="1" s="90">
      <c r="B2" s="9" t="n"/>
      <c r="C2" s="9" t="n"/>
      <c r="D2" s="9" t="inlineStr">
        <is>
          <t>Agrupamento de Escolas Raul Proença</t>
        </is>
      </c>
      <c r="E2" s="9" t="n"/>
      <c r="F2" s="9" t="n"/>
      <c r="G2" s="9" t="n"/>
      <c r="H2" s="9" t="n"/>
      <c r="I2" s="9" t="n"/>
      <c r="J2" s="9" t="n"/>
      <c r="K2" s="9" t="n"/>
    </row>
    <row r="4" ht="15" customHeight="1" s="90">
      <c r="A4" s="57" t="inlineStr">
        <is>
          <t>Ano letivo 2025/2026</t>
        </is>
      </c>
    </row>
    <row r="5" ht="7.5" customHeight="1" s="90">
      <c r="A5" s="2" t="n"/>
    </row>
    <row r="6" ht="15" customHeight="1" s="90">
      <c r="A6" s="43" t="inlineStr">
        <is>
          <t>Ata de Avaliação da Prova de Aptidão Profissional</t>
        </is>
      </c>
    </row>
    <row r="7" ht="12.75" customHeight="1" s="90">
      <c r="A7" s="3" t="n"/>
    </row>
    <row r="8" ht="12.75" customHeight="1" s="90">
      <c r="A8" s="41" t="inlineStr">
        <is>
          <t>Aluno:</t>
        </is>
      </c>
      <c r="D8" s="97" t="n"/>
      <c r="E8" s="38" t="n"/>
      <c r="F8" s="38" t="n"/>
      <c r="G8" s="38" t="n"/>
      <c r="H8" s="38" t="n"/>
      <c r="I8" s="38" t="n"/>
      <c r="J8" s="38" t="n"/>
      <c r="K8" s="38" t="n"/>
    </row>
    <row r="9" ht="12.75" customHeight="1" s="90">
      <c r="A9" s="41" t="n"/>
      <c r="B9" s="41" t="n"/>
      <c r="C9" s="41" t="inlineStr">
        <is>
          <t>Tema:</t>
        </is>
      </c>
      <c r="D9" s="97" t="n"/>
      <c r="E9" s="38" t="n"/>
      <c r="F9" s="38" t="n"/>
      <c r="G9" s="38" t="n"/>
      <c r="H9" s="38" t="n"/>
      <c r="I9" s="38" t="n"/>
      <c r="J9" s="38" t="n"/>
      <c r="K9" s="38" t="n"/>
    </row>
    <row r="10" ht="18" customHeight="1" s="90">
      <c r="A10" s="41" t="inlineStr">
        <is>
          <t>Área de Formação:</t>
        </is>
      </c>
      <c r="D10" s="95" t="inlineStr">
        <is>
          <t>Ciências Informáticas (481)</t>
        </is>
      </c>
      <c r="E10" s="95" t="n"/>
      <c r="F10" s="95" t="n"/>
      <c r="G10" s="95" t="n"/>
      <c r="H10" s="95" t="n"/>
      <c r="I10" s="95" t="n"/>
      <c r="J10" s="95" t="n"/>
      <c r="K10" s="95" t="n"/>
    </row>
    <row r="11" ht="18.75" customHeight="1" s="90">
      <c r="A11" s="41" t="inlineStr">
        <is>
          <t>Curso Profissional:</t>
        </is>
      </c>
      <c r="D11" s="95" t="inlineStr">
        <is>
          <t>Técnico de Gestão e Programação de Sistemas Informáticos</t>
        </is>
      </c>
      <c r="E11" s="95" t="n"/>
      <c r="F11" s="95" t="n"/>
      <c r="G11" s="95" t="n"/>
      <c r="H11" s="95" t="n"/>
      <c r="I11" s="95" t="n"/>
      <c r="J11" s="95" t="n"/>
      <c r="K11" s="95" t="n"/>
    </row>
    <row r="12" ht="18" customHeight="1" s="90">
      <c r="A12" s="41" t="inlineStr">
        <is>
          <t>Saída Profissional:</t>
        </is>
      </c>
      <c r="D12" s="95" t="inlineStr">
        <is>
          <t>Técnico de Gestão e Programação de Sistemas Informáticos</t>
        </is>
      </c>
      <c r="E12" s="95" t="n"/>
      <c r="F12" s="95" t="n"/>
      <c r="G12" s="95" t="n"/>
      <c r="H12" s="95" t="n"/>
      <c r="I12" s="95" t="n"/>
      <c r="J12" s="95" t="n"/>
      <c r="K12" s="95" t="n"/>
    </row>
    <row r="13" ht="7.5" customHeight="1" s="90">
      <c r="A13" s="3" t="n"/>
    </row>
    <row r="14" ht="15" customHeight="1" s="90">
      <c r="A14" s="40" t="inlineStr">
        <is>
          <t>A – Desenvolvimento do Projeto</t>
        </is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1" t="n"/>
    </row>
    <row r="15" ht="15" customHeight="1" s="90">
      <c r="A15" s="36" t="inlineStr">
        <is>
          <t>Cotação máxima</t>
        </is>
      </c>
      <c r="B15" s="31" t="n"/>
      <c r="C15" s="36" t="inlineStr">
        <is>
          <t>Itens avaliados</t>
        </is>
      </c>
      <c r="D15" s="33" t="n"/>
      <c r="E15" s="33" t="n"/>
      <c r="F15" s="33" t="n"/>
      <c r="G15" s="33" t="n"/>
      <c r="H15" s="33" t="n"/>
      <c r="I15" s="31" t="n"/>
      <c r="J15" s="36" t="inlineStr">
        <is>
          <t>Cotação atribuída</t>
        </is>
      </c>
      <c r="K15" s="31" t="n"/>
    </row>
    <row r="16" ht="12.75" customHeight="1" s="90">
      <c r="A16" s="36" t="n">
        <v>100</v>
      </c>
      <c r="B16" s="45" t="n"/>
      <c r="C16" s="32" t="inlineStr">
        <is>
          <t>Definição dos objectivos do projeto</t>
        </is>
      </c>
      <c r="D16" s="33" t="n"/>
      <c r="E16" s="33" t="n"/>
      <c r="F16" s="33" t="n"/>
      <c r="G16" s="33" t="n"/>
      <c r="H16" s="33" t="n"/>
      <c r="I16" s="31" t="n"/>
      <c r="J16" s="51" t="n">
        <v>100</v>
      </c>
      <c r="K16" s="52" t="n"/>
    </row>
    <row r="17" ht="12.75" customHeight="1" s="90">
      <c r="A17" s="46" t="n"/>
      <c r="B17" s="47" t="n"/>
      <c r="C17" s="32" t="inlineStr">
        <is>
          <t>Qualidade científica e técnica</t>
        </is>
      </c>
      <c r="D17" s="33" t="n"/>
      <c r="E17" s="33" t="n"/>
      <c r="F17" s="33" t="n"/>
      <c r="G17" s="33" t="n"/>
      <c r="H17" s="33" t="n"/>
      <c r="I17" s="31" t="n"/>
      <c r="J17" s="53" t="n"/>
      <c r="K17" s="54" t="n"/>
    </row>
    <row r="18" ht="12.75" customHeight="1" s="90">
      <c r="A18" s="46" t="n"/>
      <c r="B18" s="47" t="n"/>
      <c r="C18" s="32" t="inlineStr">
        <is>
          <t>Pertinência, criatividade e inovação</t>
        </is>
      </c>
      <c r="D18" s="33" t="n"/>
      <c r="E18" s="33" t="n"/>
      <c r="F18" s="33" t="n"/>
      <c r="G18" s="33" t="n"/>
      <c r="H18" s="33" t="n"/>
      <c r="I18" s="31" t="n"/>
      <c r="J18" s="53" t="n"/>
      <c r="K18" s="54" t="n"/>
      <c r="M18" s="10" t="n"/>
    </row>
    <row r="19" ht="12.75" customHeight="1" s="90">
      <c r="A19" s="46" t="n"/>
      <c r="B19" s="47" t="n"/>
      <c r="C19" s="32" t="inlineStr">
        <is>
          <t>Planeamento dos recursos necessários</t>
        </is>
      </c>
      <c r="D19" s="33" t="n"/>
      <c r="E19" s="33" t="n"/>
      <c r="F19" s="33" t="n"/>
      <c r="G19" s="33" t="n"/>
      <c r="H19" s="33" t="n"/>
      <c r="I19" s="31" t="n"/>
      <c r="J19" s="53" t="n"/>
      <c r="K19" s="54" t="n"/>
    </row>
    <row r="20" ht="12.75" customHeight="1" s="90">
      <c r="A20" s="46" t="n"/>
      <c r="B20" s="47" t="n"/>
      <c r="C20" s="32" t="inlineStr">
        <is>
          <t>Definição das fases de execução do projeto</t>
        </is>
      </c>
      <c r="D20" s="33" t="n"/>
      <c r="E20" s="33" t="n"/>
      <c r="F20" s="33" t="n"/>
      <c r="G20" s="33" t="n"/>
      <c r="H20" s="33" t="n"/>
      <c r="I20" s="31" t="n"/>
      <c r="J20" s="53" t="n"/>
      <c r="K20" s="54" t="n"/>
    </row>
    <row r="21" ht="12.75" customHeight="1" s="90">
      <c r="A21" s="46" t="n"/>
      <c r="B21" s="47" t="n"/>
      <c r="C21" s="32" t="inlineStr">
        <is>
          <t>Autonomia</t>
        </is>
      </c>
      <c r="D21" s="33" t="n"/>
      <c r="E21" s="33" t="n"/>
      <c r="F21" s="33" t="n"/>
      <c r="G21" s="33" t="n"/>
      <c r="H21" s="33" t="n"/>
      <c r="I21" s="31" t="n"/>
      <c r="J21" s="53" t="n"/>
      <c r="K21" s="54" t="n"/>
    </row>
    <row r="22" ht="12.75" customHeight="1" s="90">
      <c r="A22" s="48" t="n"/>
      <c r="B22" s="49" t="n"/>
      <c r="C22" s="32" t="inlineStr">
        <is>
          <t>Sentido de responsabilidade e gestão do tempo</t>
        </is>
      </c>
      <c r="D22" s="33" t="n"/>
      <c r="E22" s="33" t="n"/>
      <c r="F22" s="33" t="n"/>
      <c r="G22" s="33" t="n"/>
      <c r="H22" s="33" t="n"/>
      <c r="I22" s="31" t="n"/>
      <c r="J22" s="55" t="n"/>
      <c r="K22" s="56" t="n"/>
    </row>
    <row r="23" ht="7.5" customHeight="1" s="90">
      <c r="A23" s="4" t="n"/>
    </row>
    <row r="24" ht="15" customHeight="1" s="90">
      <c r="A24" s="40" t="inlineStr">
        <is>
          <t>B – Relatório final</t>
        </is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1" t="n"/>
    </row>
    <row r="25" ht="15" customHeight="1" s="90">
      <c r="A25" s="36" t="inlineStr">
        <is>
          <t>Cotação máxima</t>
        </is>
      </c>
      <c r="B25" s="31" t="n"/>
      <c r="C25" s="36" t="inlineStr">
        <is>
          <t>Itens avaliados</t>
        </is>
      </c>
      <c r="D25" s="33" t="n"/>
      <c r="E25" s="33" t="n"/>
      <c r="F25" s="33" t="n"/>
      <c r="G25" s="33" t="n"/>
      <c r="H25" s="33" t="n"/>
      <c r="I25" s="31" t="n"/>
      <c r="J25" s="36" t="inlineStr">
        <is>
          <t>Cotação atribuída</t>
        </is>
      </c>
      <c r="K25" s="31" t="n"/>
    </row>
    <row r="26" ht="12.75" customHeight="1" s="90">
      <c r="A26" s="36" t="n">
        <v>40</v>
      </c>
      <c r="B26" s="45" t="n"/>
      <c r="C26" s="32" t="inlineStr">
        <is>
          <t>Objetividade</t>
        </is>
      </c>
      <c r="D26" s="33" t="n"/>
      <c r="E26" s="33" t="n"/>
      <c r="F26" s="33" t="n"/>
      <c r="G26" s="33" t="n"/>
      <c r="H26" s="33" t="n"/>
      <c r="I26" s="31" t="n"/>
      <c r="J26" s="51" t="n">
        <v>40</v>
      </c>
      <c r="K26" s="52" t="n"/>
    </row>
    <row r="27" ht="12.75" customHeight="1" s="90">
      <c r="A27" s="46" t="n"/>
      <c r="B27" s="47" t="n"/>
      <c r="C27" s="32" t="inlineStr">
        <is>
          <t>Pertinência das informações</t>
        </is>
      </c>
      <c r="D27" s="33" t="n"/>
      <c r="E27" s="33" t="n"/>
      <c r="F27" s="33" t="n"/>
      <c r="G27" s="33" t="n"/>
      <c r="H27" s="33" t="n"/>
      <c r="I27" s="31" t="n"/>
      <c r="J27" s="53" t="n"/>
      <c r="K27" s="54" t="n"/>
      <c r="M27" s="10" t="n"/>
    </row>
    <row r="28" ht="12.75" customHeight="1" s="90">
      <c r="A28" s="46" t="n"/>
      <c r="B28" s="47" t="n"/>
      <c r="C28" s="32" t="inlineStr">
        <is>
          <t>Identificação das dificuldades e meios de as superar</t>
        </is>
      </c>
      <c r="D28" s="33" t="n"/>
      <c r="E28" s="33" t="n"/>
      <c r="F28" s="33" t="n"/>
      <c r="G28" s="33" t="n"/>
      <c r="H28" s="33" t="n"/>
      <c r="I28" s="31" t="n"/>
      <c r="J28" s="53" t="n"/>
      <c r="K28" s="54" t="n"/>
    </row>
    <row r="29" ht="12.75" customHeight="1" s="90">
      <c r="A29" s="46" t="n"/>
      <c r="B29" s="47" t="n"/>
      <c r="C29" s="32" t="inlineStr">
        <is>
          <t>Capacidade de análise crítica</t>
        </is>
      </c>
      <c r="D29" s="33" t="n"/>
      <c r="E29" s="33" t="n"/>
      <c r="F29" s="33" t="n"/>
      <c r="G29" s="33" t="n"/>
      <c r="H29" s="33" t="n"/>
      <c r="I29" s="31" t="n"/>
      <c r="J29" s="53" t="n"/>
      <c r="K29" s="54" t="n"/>
    </row>
    <row r="30" ht="12.75" customHeight="1" s="90">
      <c r="A30" s="48" t="n"/>
      <c r="B30" s="49" t="n"/>
      <c r="C30" s="32" t="inlineStr">
        <is>
          <t>Sentido de responsabilidade e gestão do tempo</t>
        </is>
      </c>
      <c r="D30" s="33" t="n"/>
      <c r="E30" s="33" t="n"/>
      <c r="F30" s="33" t="n"/>
      <c r="G30" s="33" t="n"/>
      <c r="H30" s="33" t="n"/>
      <c r="I30" s="31" t="n"/>
      <c r="J30" s="55" t="n"/>
      <c r="K30" s="56" t="n"/>
    </row>
    <row r="31" ht="7.5" customHeight="1" s="90">
      <c r="A31" s="4" t="n"/>
    </row>
    <row r="32" ht="15" customHeight="1" s="90">
      <c r="A32" s="40" t="inlineStr">
        <is>
          <t>C – Apresentação e Defesa do Projecto</t>
        </is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1" t="n"/>
    </row>
    <row r="33" ht="15" customHeight="1" s="90">
      <c r="A33" s="36" t="inlineStr">
        <is>
          <t>Cotação máxima</t>
        </is>
      </c>
      <c r="B33" s="31" t="n"/>
      <c r="C33" s="36" t="inlineStr">
        <is>
          <t>Itens avaliados</t>
        </is>
      </c>
      <c r="D33" s="33" t="n"/>
      <c r="E33" s="33" t="n"/>
      <c r="F33" s="33" t="n"/>
      <c r="G33" s="33" t="n"/>
      <c r="H33" s="33" t="n"/>
      <c r="I33" s="31" t="n"/>
      <c r="J33" s="36" t="inlineStr">
        <is>
          <t>Cotação atribuída</t>
        </is>
      </c>
      <c r="K33" s="31" t="n"/>
    </row>
    <row r="34" ht="12.75" customHeight="1" s="90">
      <c r="A34" s="36" t="n">
        <v>60</v>
      </c>
      <c r="B34" s="45" t="n"/>
      <c r="C34" s="32" t="inlineStr">
        <is>
          <t xml:space="preserve">Capacidade de expressão oral e de expressão corporal </t>
        </is>
      </c>
      <c r="D34" s="33" t="n"/>
      <c r="E34" s="33" t="n"/>
      <c r="F34" s="33" t="n"/>
      <c r="G34" s="33" t="n"/>
      <c r="H34" s="33" t="n"/>
      <c r="I34" s="31" t="n"/>
      <c r="J34" s="51" t="n">
        <v>60</v>
      </c>
      <c r="K34" s="52" t="n"/>
    </row>
    <row r="35" ht="12.75" customHeight="1" s="90">
      <c r="A35" s="46" t="n"/>
      <c r="B35" s="47" t="n"/>
      <c r="C35" s="32" t="inlineStr">
        <is>
          <t>Capacidade de síntese</t>
        </is>
      </c>
      <c r="D35" s="33" t="n"/>
      <c r="E35" s="33" t="n"/>
      <c r="F35" s="33" t="n"/>
      <c r="G35" s="33" t="n"/>
      <c r="H35" s="33" t="n"/>
      <c r="I35" s="31" t="n"/>
      <c r="J35" s="53" t="n"/>
      <c r="K35" s="54" t="n"/>
    </row>
    <row r="36" ht="12.75" customHeight="1" s="90">
      <c r="A36" s="46" t="n"/>
      <c r="B36" s="47" t="n"/>
      <c r="C36" s="32" t="inlineStr">
        <is>
          <t>Qualidade dos recursos/estratégias utilizadas na apresentação</t>
        </is>
      </c>
      <c r="D36" s="33" t="n"/>
      <c r="E36" s="33" t="n"/>
      <c r="F36" s="33" t="n"/>
      <c r="G36" s="33" t="n"/>
      <c r="H36" s="33" t="n"/>
      <c r="I36" s="31" t="n"/>
      <c r="J36" s="53" t="n"/>
      <c r="K36" s="54" t="n"/>
      <c r="M36" s="10" t="n"/>
    </row>
    <row r="37" ht="12.75" customHeight="1" s="90">
      <c r="A37" s="48" t="n"/>
      <c r="B37" s="49" t="n"/>
      <c r="C37" s="32" t="inlineStr">
        <is>
          <t>Qualidade de argumentação na defesa do projeto</t>
        </is>
      </c>
      <c r="D37" s="33" t="n"/>
      <c r="E37" s="33" t="n"/>
      <c r="F37" s="33" t="n"/>
      <c r="G37" s="33" t="n"/>
      <c r="H37" s="33" t="n"/>
      <c r="I37" s="31" t="n"/>
      <c r="J37" s="55" t="n"/>
      <c r="K37" s="56" t="n"/>
    </row>
    <row r="38" ht="7.5" customHeight="1" s="90">
      <c r="A38" s="6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 ht="19.5" customHeight="1" s="90">
      <c r="A39" s="39">
        <f>SUM(A16,A26,A34)</f>
        <v/>
      </c>
      <c r="B39" s="31" t="n"/>
      <c r="C39" s="39" t="inlineStr">
        <is>
          <t>Avaliação Final</t>
        </is>
      </c>
      <c r="D39" s="33" t="n"/>
      <c r="E39" s="33" t="n"/>
      <c r="F39" s="33" t="n"/>
      <c r="G39" s="33" t="n"/>
      <c r="H39" s="33" t="n"/>
      <c r="I39" s="31" t="n"/>
      <c r="J39" s="30">
        <f>SUM(J16,J26,J34)</f>
        <v/>
      </c>
      <c r="K39" s="31" t="n"/>
    </row>
    <row r="40" ht="7.5" customHeight="1" s="90">
      <c r="A40" s="4" t="n"/>
    </row>
    <row r="41" ht="12.75" customHeight="1" s="90">
      <c r="A41" s="40" t="inlineStr">
        <is>
          <t>Observações:</t>
        </is>
      </c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1" t="n"/>
    </row>
    <row r="42" ht="12.75" customHeight="1" s="90">
      <c r="A42" s="58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2" t="n"/>
    </row>
    <row r="43" ht="12.75" customHeight="1" s="90">
      <c r="A43" s="53" t="n"/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54" t="n"/>
    </row>
    <row r="44" ht="12.75" customHeight="1" s="90">
      <c r="A44" s="53" t="n"/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54" t="n"/>
    </row>
    <row r="45" ht="12.75" customHeight="1" s="90">
      <c r="A45" s="53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54" t="n"/>
    </row>
    <row r="46" ht="12.75" customHeight="1" s="90">
      <c r="A46" s="55" t="n"/>
      <c r="B46" s="60" t="n"/>
      <c r="C46" s="60" t="n"/>
      <c r="D46" s="60" t="n"/>
      <c r="E46" s="60" t="n"/>
      <c r="F46" s="60" t="n"/>
      <c r="G46" s="60" t="n"/>
      <c r="H46" s="60" t="n"/>
      <c r="I46" s="60" t="n"/>
      <c r="J46" s="60" t="n"/>
      <c r="K46" s="56" t="n"/>
    </row>
    <row r="47" ht="7.5" customHeight="1" s="90">
      <c r="A47" s="5" t="n"/>
    </row>
    <row r="48" ht="12.75" customHeight="1" s="90">
      <c r="B48" s="5" t="n"/>
      <c r="C48" s="44" t="inlineStr">
        <is>
          <t xml:space="preserve">Caldas da Rainha, </t>
        </is>
      </c>
      <c r="F48" s="5" t="n"/>
      <c r="G48" s="61">
        <f>NOW()</f>
        <v/>
      </c>
      <c r="J48" s="5" t="n"/>
      <c r="K48" s="5" t="n"/>
    </row>
    <row r="49" ht="7.5" customHeight="1" s="90">
      <c r="A49" s="5" t="n"/>
    </row>
    <row r="50" ht="12.75" customHeight="1" s="90">
      <c r="A50" s="5" t="n"/>
      <c r="E50" s="50" t="inlineStr">
        <is>
          <t>O Júri da Prova</t>
        </is>
      </c>
    </row>
    <row r="51" ht="7.5" customHeight="1" s="90">
      <c r="A51" s="5" t="n"/>
    </row>
    <row r="52" ht="12.75" customHeight="1" s="90">
      <c r="A52" s="35" t="inlineStr">
        <is>
          <t>Qualidade em que está nomeado</t>
        </is>
      </c>
      <c r="B52" s="33" t="n"/>
      <c r="C52" s="33" t="n"/>
      <c r="D52" s="33" t="n"/>
      <c r="E52" s="31" t="n"/>
      <c r="G52" s="35" t="inlineStr">
        <is>
          <t>Assinatura</t>
        </is>
      </c>
      <c r="H52" s="33" t="n"/>
      <c r="I52" s="33" t="n"/>
      <c r="J52" s="33" t="n"/>
      <c r="K52" s="31" t="n"/>
    </row>
    <row r="53" ht="22.5" customHeight="1" s="90">
      <c r="A53" s="32" t="inlineStr">
        <is>
          <t>Presidente do Júri</t>
        </is>
      </c>
      <c r="B53" s="33" t="n"/>
      <c r="C53" s="33" t="n"/>
      <c r="D53" s="33" t="n"/>
      <c r="E53" s="31" t="n"/>
      <c r="G53" s="34" t="n"/>
      <c r="H53" s="33" t="n"/>
      <c r="I53" s="33" t="n"/>
      <c r="J53" s="33" t="n"/>
      <c r="K53" s="31" t="n"/>
    </row>
    <row r="54" ht="22.5" customHeight="1" s="90">
      <c r="A54" s="32" t="inlineStr">
        <is>
          <t>Professor Orientador do Projeto</t>
        </is>
      </c>
      <c r="B54" s="33" t="n"/>
      <c r="C54" s="33" t="n"/>
      <c r="D54" s="33" t="n"/>
      <c r="E54" s="31" t="n"/>
      <c r="G54" s="34" t="n"/>
      <c r="H54" s="33" t="n"/>
      <c r="I54" s="33" t="n"/>
      <c r="J54" s="33" t="n"/>
      <c r="K54" s="31" t="n"/>
    </row>
    <row r="55" ht="22.5" customHeight="1" s="90">
      <c r="A55" s="32" t="inlineStr">
        <is>
          <t>Representante das Associações Empresariais</t>
        </is>
      </c>
      <c r="B55" s="33" t="n"/>
      <c r="C55" s="33" t="n"/>
      <c r="D55" s="33" t="n"/>
      <c r="E55" s="31" t="n"/>
      <c r="G55" s="34" t="n"/>
      <c r="H55" s="33" t="n"/>
      <c r="I55" s="33" t="n"/>
      <c r="J55" s="33" t="n"/>
      <c r="K55" s="31" t="n"/>
    </row>
    <row r="56" ht="22.5" customHeight="1" s="90">
      <c r="A56" s="32" t="inlineStr">
        <is>
          <t>Personalidade de reconhecido mérito</t>
        </is>
      </c>
      <c r="B56" s="33" t="n"/>
      <c r="C56" s="33" t="n"/>
      <c r="D56" s="33" t="n"/>
      <c r="E56" s="31" t="n"/>
      <c r="G56" s="34" t="n"/>
      <c r="H56" s="33" t="n"/>
      <c r="I56" s="33" t="n"/>
      <c r="J56" s="33" t="n"/>
      <c r="K56" s="31" t="n"/>
    </row>
  </sheetData>
  <mergeCells count="60">
    <mergeCell ref="C36:I36"/>
    <mergeCell ref="G56:K56"/>
    <mergeCell ref="J39:K39"/>
    <mergeCell ref="G52:K52"/>
    <mergeCell ref="A15:B15"/>
    <mergeCell ref="C17:I17"/>
    <mergeCell ref="C39:I39"/>
    <mergeCell ref="A24:K24"/>
    <mergeCell ref="A12:C12"/>
    <mergeCell ref="C19:I19"/>
    <mergeCell ref="C37:I37"/>
    <mergeCell ref="A6:K6"/>
    <mergeCell ref="C28:I28"/>
    <mergeCell ref="C18:I18"/>
    <mergeCell ref="A54:E54"/>
    <mergeCell ref="A25:B25"/>
    <mergeCell ref="A8:C8"/>
    <mergeCell ref="J15:K15"/>
    <mergeCell ref="A41:K41"/>
    <mergeCell ref="C34:I34"/>
    <mergeCell ref="C48:E48"/>
    <mergeCell ref="C30:I30"/>
    <mergeCell ref="G53:K53"/>
    <mergeCell ref="C15:I15"/>
    <mergeCell ref="C33:I33"/>
    <mergeCell ref="A56:E56"/>
    <mergeCell ref="A10:C10"/>
    <mergeCell ref="A55:E55"/>
    <mergeCell ref="A34:B37"/>
    <mergeCell ref="C26:I26"/>
    <mergeCell ref="A33:B33"/>
    <mergeCell ref="C35:I35"/>
    <mergeCell ref="J25:K25"/>
    <mergeCell ref="C20:I20"/>
    <mergeCell ref="E50:G50"/>
    <mergeCell ref="C29:I29"/>
    <mergeCell ref="A32:K32"/>
    <mergeCell ref="C16:I16"/>
    <mergeCell ref="A14:K14"/>
    <mergeCell ref="J26:K30"/>
    <mergeCell ref="C25:I25"/>
    <mergeCell ref="G55:K55"/>
    <mergeCell ref="A16:B22"/>
    <mergeCell ref="A53:E53"/>
    <mergeCell ref="D9:K9"/>
    <mergeCell ref="C22:I22"/>
    <mergeCell ref="A11:C11"/>
    <mergeCell ref="A4:K4"/>
    <mergeCell ref="D8:K8"/>
    <mergeCell ref="A52:E52"/>
    <mergeCell ref="G54:K54"/>
    <mergeCell ref="J16:K22"/>
    <mergeCell ref="J34:K37"/>
    <mergeCell ref="A42:K46"/>
    <mergeCell ref="C21:I21"/>
    <mergeCell ref="J33:K33"/>
    <mergeCell ref="A26:B30"/>
    <mergeCell ref="G48:I48"/>
    <mergeCell ref="C27:I27"/>
    <mergeCell ref="A39:B39"/>
  </mergeCells>
  <conditionalFormatting sqref="J16:K22 J34:K37">
    <cfRule type="cellIs" priority="1" operator="greaterThan" dxfId="0" stopIfTrue="1">
      <formula>$A$16</formula>
    </cfRule>
  </conditionalFormatting>
  <conditionalFormatting sqref="J26:K30">
    <cfRule type="cellIs" priority="2" operator="greaterThan" dxfId="0" stopIfTrue="1">
      <formula>$A$26</formula>
    </cfRule>
  </conditionalFormatting>
  <conditionalFormatting sqref="J39:K39">
    <cfRule type="cellIs" priority="3" operator="greaterThan" dxfId="0" stopIfTrue="1">
      <formula>200</formula>
    </cfRule>
  </conditionalFormatting>
  <dataValidations count="3">
    <dataValidation sqref="D10" showDropDown="0" showInputMessage="0" showErrorMessage="0" allowBlank="1" errorTitle="Valor inválido" error="Seleccione um valor da lista." type="list">
      <formula1>='Auxiliar'!$B$6:$B$8</formula1>
    </dataValidation>
    <dataValidation sqref="D12" showDropDown="0" showInputMessage="0" showErrorMessage="0" allowBlank="1" errorTitle="Valor inválido" error="Seleccione um valor da lista." type="list">
      <formula1>='Auxiliar'!$D$6:$D$8</formula1>
    </dataValidation>
    <dataValidation sqref="D11" showDropDown="0" showInputMessage="0" showErrorMessage="0" allowBlank="1" errorTitle="Valor inválido" error="Seleccione um valor da lista." type="list">
      <formula1>='Auxiliar'!$B$16:$B$18</formula1>
    </dataValidation>
  </dataValidations>
  <printOptions horizontalCentered="1"/>
  <pageMargins left="0.984251968503937" right="0.5905511811023623" top="0.5905511811023623" bottom="0.5905511811023623" header="0" footer="0"/>
  <pageSetup orientation="portrait" paperSize="9" scale="9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heldervicente</dc:creator>
  <dcterms:created xmlns:dcterms="http://purl.org/dc/terms/" xmlns:xsi="http://www.w3.org/2001/XMLSchema-instance" xsi:type="dcterms:W3CDTF">2010-05-31T07:45:32Z</dcterms:created>
  <dcterms:modified xmlns:dcterms="http://purl.org/dc/terms/" xmlns:xsi="http://www.w3.org/2001/XMLSchema-instance" xsi:type="dcterms:W3CDTF">2026-07-13T12:05:25Z</dcterms:modified>
  <cp:lastModifiedBy>Luís Fernandes</cp:lastModifiedBy>
  <cp:lastPrinted>2026-07-13T11:56:55Z</cp:lastPrinted>
</cp:coreProperties>
</file>